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YLINDER COST" r:id="rId1" sheetId="1"/>
    <sheet name="Machining cost" r:id="rId2" sheetId="2"/>
    <sheet name="Paint cost" r:id="rId3" sheetId="3"/>
    <sheet name="CNC Cost" r:id="rId4" sheetId="4"/>
  </sheets>
  <extLst/>
</workbook>
</file>

<file path=xl/sharedStrings.xml><?xml version="1.0" encoding="utf-8"?>
<sst xmlns="http://schemas.openxmlformats.org/spreadsheetml/2006/main" count="854" uniqueCount="854">
  <si>
    <t>BORE 2.5" X STROKE 180MM X ROD 1.5" ASSY</t>
  </si>
  <si>
    <t>DRG NO : 7008707</t>
  </si>
  <si>
    <t>MANUFACTURING ITEMS</t>
  </si>
  <si>
    <t>Sl.No</t>
  </si>
  <si>
    <t>Description</t>
  </si>
  <si>
    <t>QTY</t>
  </si>
  <si>
    <t>Material</t>
  </si>
  <si>
    <t>ID / WIDTH</t>
  </si>
  <si>
    <t>OD /THICKNESS</t>
  </si>
  <si>
    <t>L</t>
  </si>
  <si>
    <t>STD PARTS</t>
  </si>
  <si>
    <t>RM Reference</t>
  </si>
  <si>
    <t>Weights</t>
  </si>
  <si>
    <t>RM Cost</t>
  </si>
  <si>
    <t>Machining Cost</t>
  </si>
  <si>
    <t>Total (USD)</t>
  </si>
  <si>
    <t>TUBE</t>
  </si>
  <si>
    <t>ST 52</t>
  </si>
  <si>
    <t>Circular Bar</t>
  </si>
  <si>
    <t>PISTON ROD</t>
  </si>
  <si>
    <t xml:space="preserve">CK45-HARD CHROME </t>
  </si>
  <si>
    <t>PISTON</t>
  </si>
  <si>
    <t>ASTM A36</t>
  </si>
  <si>
    <t>GLAND</t>
  </si>
  <si>
    <t>ASTM A536 65-45-12</t>
  </si>
  <si>
    <t>END CAP</t>
  </si>
  <si>
    <t>ROD CLEVIS</t>
  </si>
  <si>
    <t>BACK CLEVIS</t>
  </si>
  <si>
    <t>BOUGHT OUT ITEMS</t>
  </si>
  <si>
    <t xml:space="preserve">SOCKET - 9/16"-18UNF </t>
  </si>
  <si>
    <t xml:space="preserve"> 9/16"-18UNF </t>
  </si>
  <si>
    <t xml:space="preserve">Plug-  9/16"-18UNF </t>
  </si>
  <si>
    <t xml:space="preserve">  9/16"-18UNF </t>
  </si>
  <si>
    <t>SEAL KIT - 2.5” X 1.5” KGD</t>
  </si>
  <si>
    <t xml:space="preserve"> 2.5” X 1.5” KGD</t>
  </si>
  <si>
    <t>Total</t>
  </si>
  <si>
    <t>BORE</t>
  </si>
  <si>
    <t>2.5"</t>
  </si>
  <si>
    <t>WELDING COST</t>
  </si>
  <si>
    <t>ROD</t>
  </si>
  <si>
    <t>1.5"</t>
  </si>
  <si>
    <t>ASSEMBLY</t>
  </si>
  <si>
    <t>STROKE</t>
  </si>
  <si>
    <t>180MM</t>
  </si>
  <si>
    <t>TESTING</t>
  </si>
  <si>
    <t>PAINTING</t>
  </si>
  <si>
    <t>PACKING &amp; FORWARDING</t>
  </si>
  <si>
    <t>TOTAL</t>
  </si>
  <si>
    <t>Name</t>
  </si>
  <si>
    <t>Weight</t>
  </si>
  <si>
    <t>Price</t>
  </si>
  <si>
    <t>SOCKET</t>
  </si>
  <si>
    <t xml:space="preserve">MATERIAL NAME </t>
  </si>
  <si>
    <t>COST</t>
  </si>
  <si>
    <t>Density</t>
  </si>
  <si>
    <t>NAME</t>
  </si>
  <si>
    <t>CUSTOM</t>
  </si>
  <si>
    <t>DESCRIPTION</t>
  </si>
  <si>
    <t>WEIGHT</t>
  </si>
  <si>
    <t>PRICE</t>
  </si>
  <si>
    <t>2" GLAND</t>
  </si>
  <si>
    <t xml:space="preserve">SOCKET - 1 1/16"-12 UNF </t>
  </si>
  <si>
    <t>1 1/16"-12 UNF</t>
  </si>
  <si>
    <t>TUBE (ID 20-32)</t>
  </si>
  <si>
    <t>2.25" GLAND</t>
  </si>
  <si>
    <t xml:space="preserve">SOCKET - 1-5/16"-12 UNF </t>
  </si>
  <si>
    <t>1-5/16"-12 UNF</t>
  </si>
  <si>
    <t>TUBE (ID 33-200)</t>
  </si>
  <si>
    <t>2.5" GLAND</t>
  </si>
  <si>
    <t xml:space="preserve">SOCKET - 1/2"-20 UNF </t>
  </si>
  <si>
    <t>1/2"-20 UNF</t>
  </si>
  <si>
    <t>2.75" GLAND</t>
  </si>
  <si>
    <t xml:space="preserve">SOCKET - 3/4"-16UNF </t>
  </si>
  <si>
    <t>3/4"-16UNF</t>
  </si>
  <si>
    <t>CK45-HOLLOW(HARD CH)</t>
  </si>
  <si>
    <t>3" GLAND</t>
  </si>
  <si>
    <t xml:space="preserve">SOCKET - 3/8" -24 UNF </t>
  </si>
  <si>
    <t>3/8" -24 UNF</t>
  </si>
  <si>
    <t>CK45-INDUCTION HARD</t>
  </si>
  <si>
    <t>CLEVIS</t>
  </si>
  <si>
    <t>3.25" GLAND</t>
  </si>
  <si>
    <t xml:space="preserve">SOCKET - 5/8" -18 UNF </t>
  </si>
  <si>
    <t>5/8" -18 UNF</t>
  </si>
  <si>
    <t>PISTON ROD (DIA 12-26)</t>
  </si>
  <si>
    <t>MANIFOLD</t>
  </si>
  <si>
    <t>3.5" GLAND</t>
  </si>
  <si>
    <t xml:space="preserve">SOCKET - 7/16"-20UNF </t>
  </si>
  <si>
    <t>7/16"-20UNF</t>
  </si>
  <si>
    <t>PISTON ROD (DIA &gt;26)</t>
  </si>
  <si>
    <t>FEEDER TUBE</t>
  </si>
  <si>
    <t>3.75" GLAND</t>
  </si>
  <si>
    <t xml:space="preserve">SOCKET - 7/8"-14UNF </t>
  </si>
  <si>
    <t>7/8"-14UNF</t>
  </si>
  <si>
    <t>NUT</t>
  </si>
  <si>
    <t>4" GLAND</t>
  </si>
  <si>
    <t>9/16"-18UNF</t>
  </si>
  <si>
    <t>ASTM A536 80-55-06</t>
  </si>
  <si>
    <t>4.25" GLAND</t>
  </si>
  <si>
    <t xml:space="preserve">SOCKET -  5/8"-18UNF SOCKET-SPL  </t>
  </si>
  <si>
    <t xml:space="preserve"> 5/8"-18UNF SOCKET-SPL </t>
  </si>
  <si>
    <t>PIN VALVE</t>
  </si>
  <si>
    <t>4.5" GLAND</t>
  </si>
  <si>
    <t xml:space="preserve">SOCKET - 9/16"-18 UNF SAE#6 SOCKET-SPL  [DD SK 27 A416] </t>
  </si>
  <si>
    <t xml:space="preserve">9/16"-18 UNF SAE#6 SOCKET-SPL </t>
  </si>
  <si>
    <t>EN8</t>
  </si>
  <si>
    <t>ADAPTER</t>
  </si>
  <si>
    <t>4.75" GLAND</t>
  </si>
  <si>
    <t xml:space="preserve">SOCKET - 9/16"-18 UNF SAE#6 SOCKET-SPL [DD SK 27 A436] </t>
  </si>
  <si>
    <t>EN1A</t>
  </si>
  <si>
    <t>PROX. BLOCK</t>
  </si>
  <si>
    <t>5" GLAND</t>
  </si>
  <si>
    <t xml:space="preserve">SOCKET - 90° PORT SAE-10 7/8"-14 UNF </t>
  </si>
  <si>
    <t>90° PORT SAE-10 7/8"-14 UNF</t>
  </si>
  <si>
    <t>EN24</t>
  </si>
  <si>
    <t>STOPPER</t>
  </si>
  <si>
    <t>5.25" GLAND</t>
  </si>
  <si>
    <t xml:space="preserve">SOCKET - 90° PORT SAE-8 3/4"-16 UNF </t>
  </si>
  <si>
    <t>90° PORT SAE-8 3/4"-16 UNF</t>
  </si>
  <si>
    <t>EN19</t>
  </si>
  <si>
    <t>CLEVIS PIN</t>
  </si>
  <si>
    <t>5.5" GLAND</t>
  </si>
  <si>
    <t xml:space="preserve">SOCKET - BSPP PORT-FLAT BOTTOM </t>
  </si>
  <si>
    <t>BSPP PORT-FLAT BOTTOM</t>
  </si>
  <si>
    <t>ASTM A36-GAS CUT</t>
  </si>
  <si>
    <t>PLATE</t>
  </si>
  <si>
    <t>5.75" GLAND</t>
  </si>
  <si>
    <t xml:space="preserve">SOCKET - 1/2" BSPP BLACK </t>
  </si>
  <si>
    <t>1/2" BSPP BLACK</t>
  </si>
  <si>
    <t>106 GR.B</t>
  </si>
  <si>
    <t>WIRE</t>
  </si>
  <si>
    <t>6" GLAND</t>
  </si>
  <si>
    <t xml:space="preserve">SOCKET - 1/4" BSPP BLACK </t>
  </si>
  <si>
    <t>1/4" BSPP BLACK</t>
  </si>
  <si>
    <t>ST 37.4</t>
  </si>
  <si>
    <t>BUSH</t>
  </si>
  <si>
    <t>6.5" GLAND</t>
  </si>
  <si>
    <t xml:space="preserve">SOCKET - 1/8" BSPP BLACK </t>
  </si>
  <si>
    <t>1/8" BSPP BLACK</t>
  </si>
  <si>
    <t>SS 304</t>
  </si>
  <si>
    <t>REATINER</t>
  </si>
  <si>
    <t>7" GLAND</t>
  </si>
  <si>
    <t xml:space="preserve">SOCKET - 3/4" BSPP BLACK </t>
  </si>
  <si>
    <t>3/4" BSPP BLACK</t>
  </si>
  <si>
    <t>CK45-PG</t>
  </si>
  <si>
    <t>PIN</t>
  </si>
  <si>
    <t>7.5" GLAND</t>
  </si>
  <si>
    <t xml:space="preserve">SOCKET - 3/8" BSPP BLACK </t>
  </si>
  <si>
    <t>3/8" BSPP BLACK</t>
  </si>
  <si>
    <t>Al</t>
  </si>
  <si>
    <t>TRUNNION</t>
  </si>
  <si>
    <t>8" GLAND</t>
  </si>
  <si>
    <t xml:space="preserve">SOCKET - 1/2" NPT SS304 </t>
  </si>
  <si>
    <t>1/2" NPT SS304</t>
  </si>
  <si>
    <t>NI + CR ROD</t>
  </si>
  <si>
    <t>ELBOW</t>
  </si>
  <si>
    <t>2" END CAP</t>
  </si>
  <si>
    <t xml:space="preserve">SOCKET - 1" -11 1/2 NPT </t>
  </si>
  <si>
    <t>1" -11 1/2 NPT</t>
  </si>
  <si>
    <t>NITRO</t>
  </si>
  <si>
    <t>STOP PLATE</t>
  </si>
  <si>
    <t>2.25" END CAP</t>
  </si>
  <si>
    <t xml:space="preserve">SOCKET - 1/2" NPT BLACK </t>
  </si>
  <si>
    <t>1/2" NPT BLACK</t>
  </si>
  <si>
    <t>4140-ALLOY</t>
  </si>
  <si>
    <t>CLEVIS PLATE</t>
  </si>
  <si>
    <t>2.5" END CAP</t>
  </si>
  <si>
    <t xml:space="preserve">SOCKET - 1/4" NPT BLACK </t>
  </si>
  <si>
    <t>1/4" NPT BLACK</t>
  </si>
  <si>
    <t>ASTM A514</t>
  </si>
  <si>
    <t>PORT BLOCK</t>
  </si>
  <si>
    <t>2.75" END CAP</t>
  </si>
  <si>
    <t xml:space="preserve">SOCKET - 1/8" NPT BLACK  </t>
  </si>
  <si>
    <t xml:space="preserve">1/8" NPT BLACK </t>
  </si>
  <si>
    <t>SPRING STEEL</t>
  </si>
  <si>
    <t>FLANGE</t>
  </si>
  <si>
    <t>3" END CAP</t>
  </si>
  <si>
    <t xml:space="preserve">SOCKET - 3/4" NPT BLACK </t>
  </si>
  <si>
    <t>3/4" NPT BLACK</t>
  </si>
  <si>
    <t>42CrMo4</t>
  </si>
  <si>
    <t>MOUNTING PLATE</t>
  </si>
  <si>
    <t>3.25" END CAP</t>
  </si>
  <si>
    <t xml:space="preserve">SOCKET - 3/8" -18 NPT BLACK </t>
  </si>
  <si>
    <t>3/8" -18 NPT BLACK</t>
  </si>
  <si>
    <t>SS 306</t>
  </si>
  <si>
    <t>CONNECTOR</t>
  </si>
  <si>
    <t>3.5" END CAP</t>
  </si>
  <si>
    <t xml:space="preserve">SOCKET - 1/4" NPT </t>
  </si>
  <si>
    <t>1/4" NPT</t>
  </si>
  <si>
    <t>SS 316L</t>
  </si>
  <si>
    <t>BRONZE BUSH</t>
  </si>
  <si>
    <t>3.75" END CAP</t>
  </si>
  <si>
    <t xml:space="preserve">SOCKET - 1/2" NPT 90° PORT </t>
  </si>
  <si>
    <t>1/2" NPT 90° PORT</t>
  </si>
  <si>
    <t>SS 316L(TUBE)</t>
  </si>
  <si>
    <t>PORT BLOCK-EQUAL</t>
  </si>
  <si>
    <t>4" END CAP</t>
  </si>
  <si>
    <t xml:space="preserve">SOCKET - 1/4" NPT 90° PORT </t>
  </si>
  <si>
    <t>1/4" NPT 90° PORT</t>
  </si>
  <si>
    <t>20MnV6</t>
  </si>
  <si>
    <t>PROX. PLATE</t>
  </si>
  <si>
    <t>4.25" END CAP</t>
  </si>
  <si>
    <t xml:space="preserve">SOCKET - 3/4" NPT 90° PORT </t>
  </si>
  <si>
    <t>3/4" NPT 90° PORT</t>
  </si>
  <si>
    <t>SS431</t>
  </si>
  <si>
    <t>TIE ROD</t>
  </si>
  <si>
    <t>4.5" END CAP</t>
  </si>
  <si>
    <t xml:space="preserve">SOCKET - 3/8" NPT 90° PORT </t>
  </si>
  <si>
    <t>3/8" NPT 90° PORT</t>
  </si>
  <si>
    <t>Steel forging</t>
  </si>
  <si>
    <t>SPLIT RING</t>
  </si>
  <si>
    <t>4.75" END CAP</t>
  </si>
  <si>
    <t xml:space="preserve">SOCKET - 3/8"-18 NPT </t>
  </si>
  <si>
    <t>3/8"-18 NPT</t>
  </si>
  <si>
    <t>Steel casting</t>
  </si>
  <si>
    <t>L-SUPPORT</t>
  </si>
  <si>
    <t>5" END CAP</t>
  </si>
  <si>
    <t xml:space="preserve">SOCKET - NPT SOCKET-SPL </t>
  </si>
  <si>
    <t>NPT SOCKET-SPL</t>
  </si>
  <si>
    <t>DUCTILE IRON CASTING</t>
  </si>
  <si>
    <t>HOLDING PLATE</t>
  </si>
  <si>
    <t>5.25" END CAP</t>
  </si>
  <si>
    <t xml:space="preserve">SOCKET - 1/2" NPTF </t>
  </si>
  <si>
    <t>1/2" NPTF</t>
  </si>
  <si>
    <t>5.5" END CAP</t>
  </si>
  <si>
    <t xml:space="preserve">SOCKET - 1/4" NPTF </t>
  </si>
  <si>
    <t>1/4" NPTF</t>
  </si>
  <si>
    <t>5.75" END CAP</t>
  </si>
  <si>
    <t xml:space="preserve">SOCKET - 3/4" NPTF </t>
  </si>
  <si>
    <t>3/4" NPTF</t>
  </si>
  <si>
    <t>6" END CAP</t>
  </si>
  <si>
    <t xml:space="preserve">SOCKET - 1/2" BSPT </t>
  </si>
  <si>
    <t>1/2" BSPT</t>
  </si>
  <si>
    <t>6.5" END CAP</t>
  </si>
  <si>
    <t xml:space="preserve">SOCKET - 3/4" BSPT </t>
  </si>
  <si>
    <t>3/4" BSPT</t>
  </si>
  <si>
    <t>7" END CAP</t>
  </si>
  <si>
    <t xml:space="preserve">SOCKET - 3/8"-BSPT </t>
  </si>
  <si>
    <t>3/8"-BSPT</t>
  </si>
  <si>
    <t>7.5" END CAP</t>
  </si>
  <si>
    <t>8" END CAP</t>
  </si>
  <si>
    <t>PLUG</t>
  </si>
  <si>
    <t xml:space="preserve">Breather Plug- 3/4"-16 UNF </t>
  </si>
  <si>
    <t>3/4"-16 UNF</t>
  </si>
  <si>
    <t xml:space="preserve">Breather Plug- 9/16"-18 UNF </t>
  </si>
  <si>
    <t>9/16"-18 UNF</t>
  </si>
  <si>
    <t xml:space="preserve">Plastic cap- 3/4" UNF </t>
  </si>
  <si>
    <t>3/4" UNF</t>
  </si>
  <si>
    <t xml:space="preserve">Plastic cap-  5/8"-18 UNF </t>
  </si>
  <si>
    <t xml:space="preserve"> 5/8"-18 UNF</t>
  </si>
  <si>
    <t xml:space="preserve">Plastic Plug-  1 1/16"-12 UNF </t>
  </si>
  <si>
    <t xml:space="preserve"> 1 1/16"-12 UNF</t>
  </si>
  <si>
    <t xml:space="preserve">Plastic Plug- 3/4"-16 UNF </t>
  </si>
  <si>
    <t xml:space="preserve">Plastic Plug- 7/16-20 UNF </t>
  </si>
  <si>
    <t>7/16-20 UNF</t>
  </si>
  <si>
    <t xml:space="preserve">Plastic Plug-  9/16-18 UNF </t>
  </si>
  <si>
    <t xml:space="preserve"> 9/16-18 UNF</t>
  </si>
  <si>
    <t xml:space="preserve">Plug- 1 1/16"-12UNF </t>
  </si>
  <si>
    <t>1 1/16"-12UNF</t>
  </si>
  <si>
    <t xml:space="preserve">Plug- 1 3/8"-12UNF </t>
  </si>
  <si>
    <t>1 3/8"-12UNF</t>
  </si>
  <si>
    <t xml:space="preserve">Plug- 1 5/16" - 12 UNF </t>
  </si>
  <si>
    <t>1 5/16" - 12 UNF</t>
  </si>
  <si>
    <t xml:space="preserve">Plug- 1/2"-20 UNF </t>
  </si>
  <si>
    <t xml:space="preserve">Plug- 1/2-20 UNF </t>
  </si>
  <si>
    <t>1/2-20 UNF</t>
  </si>
  <si>
    <t xml:space="preserve">Plug- 3/4"-16UNF </t>
  </si>
  <si>
    <t xml:space="preserve">Plug- 3/8" 24UNF [SAE#3] </t>
  </si>
  <si>
    <t>3/8" 24UNF [SAE#3]</t>
  </si>
  <si>
    <t xml:space="preserve">Plug- 3/8" 24UNF </t>
  </si>
  <si>
    <t>3/8" 24UNF</t>
  </si>
  <si>
    <t xml:space="preserve">Plug- 5/16-24 UNF </t>
  </si>
  <si>
    <t>5/16-24 UNF</t>
  </si>
  <si>
    <t xml:space="preserve">Plug- 5/8"-18 UNF </t>
  </si>
  <si>
    <t>5/8"-18 UNF</t>
  </si>
  <si>
    <t xml:space="preserve">Plug- 7/16" 20 UNF </t>
  </si>
  <si>
    <t>7/16" 20 UNF</t>
  </si>
  <si>
    <t xml:space="preserve">Plug- 7/8"-14 UNF </t>
  </si>
  <si>
    <t>7/8"-14 UNF</t>
  </si>
  <si>
    <t xml:space="preserve"> 9/16"-18UNF</t>
  </si>
  <si>
    <t xml:space="preserve">Plug- 3/4"-16UNF  (SAE#8) [AC PG 35 C030] </t>
  </si>
  <si>
    <t>3/4"-16UNF  (SAE#8)</t>
  </si>
  <si>
    <t xml:space="preserve">Steel cap- 3/4"-16 UNF </t>
  </si>
  <si>
    <t xml:space="preserve">Steel cap-  7/16"-20 UNF </t>
  </si>
  <si>
    <t xml:space="preserve"> 7/16"-20 UNF</t>
  </si>
  <si>
    <t xml:space="preserve">Steel cap- 9/16"-18 UNF </t>
  </si>
  <si>
    <t xml:space="preserve">Breather Plug- 3/8-NPT [DD BP 38 C037] </t>
  </si>
  <si>
    <t>3/8-NPT [DD BP 38 C037]</t>
  </si>
  <si>
    <t xml:space="preserve">Breather Plug- 3/8-NPT [TK BP 38 B837] </t>
  </si>
  <si>
    <t>3/8-NPT [TK BP 38 B837]</t>
  </si>
  <si>
    <t xml:space="preserve">Breather Plug- 1/2" NPT </t>
  </si>
  <si>
    <t>1/2" NPT</t>
  </si>
  <si>
    <t xml:space="preserve">Breather Plug- 3/8" NPT </t>
  </si>
  <si>
    <t>3/8" NPT</t>
  </si>
  <si>
    <t xml:space="preserve">Hex Breather Plug- 1/8 NPT </t>
  </si>
  <si>
    <t>1/8 NPT</t>
  </si>
  <si>
    <t xml:space="preserve">Plastic Plug- 1/2"-14 NPT </t>
  </si>
  <si>
    <t>1/2"-14 NPT</t>
  </si>
  <si>
    <t xml:space="preserve">Plastic Plug- 1/4"-18 NPT </t>
  </si>
  <si>
    <t>1/4"-18 NPT</t>
  </si>
  <si>
    <t xml:space="preserve">Plastic Plug- 3/8"-18 NPT </t>
  </si>
  <si>
    <t xml:space="preserve">Plug- 1/16"-27 NPT </t>
  </si>
  <si>
    <t>1/16"-27 NPT</t>
  </si>
  <si>
    <t xml:space="preserve">Plug- 1/2"-14NPT </t>
  </si>
  <si>
    <t>1/2"-14NPT</t>
  </si>
  <si>
    <t xml:space="preserve">Plug- 1/4" NPT </t>
  </si>
  <si>
    <t xml:space="preserve">Plug- 1/8"-27NPT  [ST 18 NPT 9679] </t>
  </si>
  <si>
    <t xml:space="preserve">1/8"-27NPT  </t>
  </si>
  <si>
    <t xml:space="preserve">Plug- 3/4" NPT </t>
  </si>
  <si>
    <t>3/4" NPT</t>
  </si>
  <si>
    <t xml:space="preserve">Plug- 3/8"-18NPT </t>
  </si>
  <si>
    <t>3/8"-18NPT</t>
  </si>
  <si>
    <t xml:space="preserve">Plug- NPT 1.0 </t>
  </si>
  <si>
    <t>NPT 1.0</t>
  </si>
  <si>
    <t xml:space="preserve">Plug- 1/16"-27NPT </t>
  </si>
  <si>
    <t>1/16"-27NPT</t>
  </si>
  <si>
    <t xml:space="preserve">Squ.Head Plug- 1/8"-27 NPT  </t>
  </si>
  <si>
    <t xml:space="preserve">1/8"-27 NPT </t>
  </si>
  <si>
    <t xml:space="preserve">Steel cap- 1/2-NPT </t>
  </si>
  <si>
    <t>1/2-NPT</t>
  </si>
  <si>
    <t xml:space="preserve">Plug- 1/2"-14 NPTF </t>
  </si>
  <si>
    <t>1/2"-14 NPTF</t>
  </si>
  <si>
    <t xml:space="preserve">Plug- 1/2"-14 NPTF -HD </t>
  </si>
  <si>
    <t>1/2"-14 NPTF -HD</t>
  </si>
  <si>
    <t xml:space="preserve">Plug- 1/8"-27NPTF </t>
  </si>
  <si>
    <t>1/8"-27NPTF</t>
  </si>
  <si>
    <t xml:space="preserve">Plug- 3/4 - 14 NPTF </t>
  </si>
  <si>
    <t>3/4 - 14 NPTF</t>
  </si>
  <si>
    <t xml:space="preserve">Plug- 3/4"-14 NPTF </t>
  </si>
  <si>
    <t>3/4"-14 NPTF</t>
  </si>
  <si>
    <t xml:space="preserve">Plug- 3/8"-18 NPTF </t>
  </si>
  <si>
    <t>3/8"-18 NPTF</t>
  </si>
  <si>
    <t xml:space="preserve">Plug- 3/8"-18 NPTF-HD </t>
  </si>
  <si>
    <t>3/8"-18 NPTF-HD</t>
  </si>
  <si>
    <t xml:space="preserve">Hex Breather Plug- 1/8 BSPP </t>
  </si>
  <si>
    <t>1/8 BSPP</t>
  </si>
  <si>
    <t xml:space="preserve">Plastic Plug- 1/2" BSPP </t>
  </si>
  <si>
    <t>1/2" BSPP</t>
  </si>
  <si>
    <t xml:space="preserve">Plug- 1.0" BSPP </t>
  </si>
  <si>
    <t>1.0" BSPP</t>
  </si>
  <si>
    <t xml:space="preserve">Plug- 1/2" BSPP </t>
  </si>
  <si>
    <t xml:space="preserve">Plug- 1/4" BSPP </t>
  </si>
  <si>
    <t>1/4" BSPP</t>
  </si>
  <si>
    <t xml:space="preserve">Plug- 1/8" BSPP </t>
  </si>
  <si>
    <t>1/8" BSPP</t>
  </si>
  <si>
    <t xml:space="preserve">Plug- 3/4 BSPP </t>
  </si>
  <si>
    <t>3/4 BSPP</t>
  </si>
  <si>
    <t xml:space="preserve">Plug- 3/8" BSPP [ST BS 38 3107] </t>
  </si>
  <si>
    <t>3/8" BSPP</t>
  </si>
  <si>
    <t xml:space="preserve">Steel cap- 3/8-19 BSPP </t>
  </si>
  <si>
    <t>3/8-19 BSPP</t>
  </si>
  <si>
    <t xml:space="preserve">Steel Plug- 1.0" BSPP </t>
  </si>
  <si>
    <t xml:space="preserve">Plug- 1/2" BSPT </t>
  </si>
  <si>
    <t xml:space="preserve">Plug- 1/4" BSPT </t>
  </si>
  <si>
    <t>1/4" BSPT</t>
  </si>
  <si>
    <t xml:space="preserve">Plug- 3/4" BSPT  </t>
  </si>
  <si>
    <t xml:space="preserve">3/4" BSPT </t>
  </si>
  <si>
    <t xml:space="preserve">Steel Plug- 3/8"-BSPT </t>
  </si>
  <si>
    <t xml:space="preserve">Blanking Plug- M42 </t>
  </si>
  <si>
    <t>M42</t>
  </si>
  <si>
    <t xml:space="preserve">Cavity Plug- M20X1.5 </t>
  </si>
  <si>
    <t>M20X1.5</t>
  </si>
  <si>
    <t xml:space="preserve">Plastic cap- M18 X 1.5 - HDPE </t>
  </si>
  <si>
    <t>M18 X 1.5 - HDPE</t>
  </si>
  <si>
    <t xml:space="preserve">Plastic cap- M18 X 1.5  </t>
  </si>
  <si>
    <t xml:space="preserve">M18 X 1.5 </t>
  </si>
  <si>
    <t xml:space="preserve">Plug- M18 X 1.5 </t>
  </si>
  <si>
    <t>M18 X 1.5</t>
  </si>
  <si>
    <t xml:space="preserve">Plug- M10x1 </t>
  </si>
  <si>
    <t>M10x1</t>
  </si>
  <si>
    <t xml:space="preserve">Plug- M12x1  [UR H 123 PL 1401 BS] </t>
  </si>
  <si>
    <t xml:space="preserve">M12x1  </t>
  </si>
  <si>
    <t xml:space="preserve">Plug- M12x1 [SP OM XX 4131] </t>
  </si>
  <si>
    <t>M12x1</t>
  </si>
  <si>
    <t>PLUG (EN1A) WITH O RING M14 X 1.5</t>
  </si>
  <si>
    <t>M14 X 1.5</t>
  </si>
  <si>
    <t xml:space="preserve">Plug- M16 X 1.5 </t>
  </si>
  <si>
    <t>M16 X 1.5</t>
  </si>
  <si>
    <t>PLUG (EN1A) WITH O RING M16 X 1.5</t>
  </si>
  <si>
    <t>M16 X 1.5"</t>
  </si>
  <si>
    <t xml:space="preserve">Plug- M5 X0.8P </t>
  </si>
  <si>
    <t>M5 X0.8P</t>
  </si>
  <si>
    <t xml:space="preserve">Plug with O ring- M14 X 1.5 </t>
  </si>
  <si>
    <t xml:space="preserve">Plug with O ring- M16 X 1.5 </t>
  </si>
  <si>
    <t xml:space="preserve">Plug- 1/4" PF </t>
  </si>
  <si>
    <t>1/4" PF</t>
  </si>
  <si>
    <t xml:space="preserve">Steel cap- M18x1.5 </t>
  </si>
  <si>
    <t>M18x1.5</t>
  </si>
  <si>
    <t>NYLOCK NUT</t>
  </si>
  <si>
    <t xml:space="preserve">NYLOCK JAM NUT - (GR10) 2" - 12 UNF </t>
  </si>
  <si>
    <t>(GR10) 2" - 12 UNF</t>
  </si>
  <si>
    <t xml:space="preserve">NYLOCK NUT - (CL10) M12x1.25 </t>
  </si>
  <si>
    <t>(CL10) M12x1.25</t>
  </si>
  <si>
    <t xml:space="preserve">NYLOCK NUT - (CL10) M18x1.5 </t>
  </si>
  <si>
    <t>(CL10) M18x1.5</t>
  </si>
  <si>
    <t xml:space="preserve">NYLOCK NUT - (CL10) M24x2.0 </t>
  </si>
  <si>
    <t>(CL10) M24x2.0</t>
  </si>
  <si>
    <t xml:space="preserve">NYLOCK NUT - (CL10) M27x2.0 </t>
  </si>
  <si>
    <t>(CL10) M27x2.0</t>
  </si>
  <si>
    <t xml:space="preserve">NYLOCK NUT - (GR10) M10x1.5 </t>
  </si>
  <si>
    <t>(GR10) M10x1.5</t>
  </si>
  <si>
    <t xml:space="preserve">NYLOCK NUT - (GR10) M18x1.5 </t>
  </si>
  <si>
    <t>(GR10) M18x1.5</t>
  </si>
  <si>
    <t xml:space="preserve">NYLOCK NUT - (GR10) M24x2.0 </t>
  </si>
  <si>
    <t>(GR10) M24x2.0</t>
  </si>
  <si>
    <t xml:space="preserve">NYLOCK NUT - (GR8) 1 1/2 -12 UNF </t>
  </si>
  <si>
    <t>(GR8) 1 1/2 -12 UNF</t>
  </si>
  <si>
    <t xml:space="preserve">NYLOCK NUT - (GR8) 1 1/2" X 12 UNF 0.81" L </t>
  </si>
  <si>
    <t>(GR8) 1 1/2" X 12 UNF</t>
  </si>
  <si>
    <t xml:space="preserve">NYLOCK NUT - (GR8) 1 1/8" x 12 </t>
  </si>
  <si>
    <t>(GR8) 1 1/8" x 12</t>
  </si>
  <si>
    <t xml:space="preserve">NYLOCK NUT - (GR8) 1 1/8" x 12 UNF </t>
  </si>
  <si>
    <t>(GR8) 1 1/8" x 12 UNF</t>
  </si>
  <si>
    <t xml:space="preserve">NYLOCK NUT - (GR8) 1" x 14 UNF 0.88" L </t>
  </si>
  <si>
    <t>(GR8) 1" x 14 UNF 0.88" L</t>
  </si>
  <si>
    <t xml:space="preserve">NYLOCK NUT - (GR8) 1" x 14 UNF 1.44" L </t>
  </si>
  <si>
    <t>(GR8) 1" x 14 UNF 1.44" L</t>
  </si>
  <si>
    <t xml:space="preserve">NYLOCK NUT - (GR8) 1" x 14 UNF 605163/62 </t>
  </si>
  <si>
    <t xml:space="preserve">(GR8) 1" x 14 UNF </t>
  </si>
  <si>
    <t xml:space="preserve">NYLOCK NUT - (GR8) 1-1/4" X 12 UNF </t>
  </si>
  <si>
    <t>(GR8) 1-1/4" X 12 UNF</t>
  </si>
  <si>
    <t xml:space="preserve">NYLOCK NUT - (GR8) 1-3/4"-12-UNF </t>
  </si>
  <si>
    <t>(GR8) 1-3/4"-12-UNF</t>
  </si>
  <si>
    <t xml:space="preserve">NYLOCK NUT - (GR8) 1/2" - 20 UNF </t>
  </si>
  <si>
    <t>(GR8) 1/2" - 20 UNF</t>
  </si>
  <si>
    <t xml:space="preserve">NYLOCK NUT - (GR8) 3/4" x 16 UNF </t>
  </si>
  <si>
    <t>(GR8) 3/4" x 16 UNF</t>
  </si>
  <si>
    <t xml:space="preserve">NYLOCK NUT - (GR8) 5/16"-18 UNF </t>
  </si>
  <si>
    <t>(GR8) 5/16"-18 UNF</t>
  </si>
  <si>
    <t xml:space="preserve">NYLOCK NUT - (GR8) 5/8"-18 UNF </t>
  </si>
  <si>
    <t>(GR8) 5/8"-18 UNF</t>
  </si>
  <si>
    <t xml:space="preserve">NYLOCK NUT - (GR8) 7/8"-14UNF </t>
  </si>
  <si>
    <t>(GR8) 7/8"-14UNF</t>
  </si>
  <si>
    <t xml:space="preserve">NYLOCK NUT - (GR8) M10x1.5 </t>
  </si>
  <si>
    <t>(GR8) M10x1.5</t>
  </si>
  <si>
    <t xml:space="preserve">NYLOCK NUT - (GR8) M12x1.25 </t>
  </si>
  <si>
    <t>(GR8) M12x1.25</t>
  </si>
  <si>
    <t xml:space="preserve">NYLOCK NUT - (GR8) M12x1.5 </t>
  </si>
  <si>
    <t>(GR8) M12x1.5</t>
  </si>
  <si>
    <t xml:space="preserve">NYLOCK NUT - (GR8) M14x1.5p [ST MC NY 0251] </t>
  </si>
  <si>
    <t xml:space="preserve">(GR8) M14x1.5p </t>
  </si>
  <si>
    <t xml:space="preserve">NYLOCK NUT - (GR8) M16x1.5 </t>
  </si>
  <si>
    <t>(GR8) M16x1.5</t>
  </si>
  <si>
    <t xml:space="preserve">NYLOCK NUT - (GR8) M16x2.0 </t>
  </si>
  <si>
    <t>(GR8) M16x2.0</t>
  </si>
  <si>
    <t xml:space="preserve">NYLOCK NUT - (GR8) M20x2.5 </t>
  </si>
  <si>
    <t>(GR8) M20x2.5</t>
  </si>
  <si>
    <t xml:space="preserve">NYLOCK NUT - (GR8) M20x2.5 SPL </t>
  </si>
  <si>
    <t>(GR8) M20x2.5 SPL</t>
  </si>
  <si>
    <t xml:space="preserve">NYLOCK NUT - (GR8) M22 </t>
  </si>
  <si>
    <t>(GR8) M22</t>
  </si>
  <si>
    <t xml:space="preserve">NYLOCK NUT - (GR8) M24x3.0 </t>
  </si>
  <si>
    <t>(GR8) M24x3.0</t>
  </si>
  <si>
    <t xml:space="preserve">NYLOCK NUT - (GR8) M24x3.0 SPL </t>
  </si>
  <si>
    <t>(GR8) M24x3.0 SPL</t>
  </si>
  <si>
    <t xml:space="preserve">NYLOCK NUT - (GR8) M25x1.5 </t>
  </si>
  <si>
    <t>(GR8) M25x1.5</t>
  </si>
  <si>
    <t xml:space="preserve">NYLOCK NUT - (GR8) M27x2.0 </t>
  </si>
  <si>
    <t>(GR8) M27x2.0</t>
  </si>
  <si>
    <t xml:space="preserve">NYLOCK NUT - (GR8) M30x2.0 </t>
  </si>
  <si>
    <t>(GR8) M30x2.0</t>
  </si>
  <si>
    <t xml:space="preserve">NYLOCK NUT - (GR8) M33 </t>
  </si>
  <si>
    <t>(GR8) M33</t>
  </si>
  <si>
    <t xml:space="preserve">NYLOCK NUT - (GR8) M36x2.0 </t>
  </si>
  <si>
    <t>(GR8) M36x2.0</t>
  </si>
  <si>
    <t xml:space="preserve">NYLOCK NUT - (GR8) M39x3.0 </t>
  </si>
  <si>
    <t>(GR8) M39x3.0</t>
  </si>
  <si>
    <t xml:space="preserve">NYLOCK NUT - (GR8) M48x3.0 </t>
  </si>
  <si>
    <t>(GR8) M48x3.0</t>
  </si>
  <si>
    <t xml:space="preserve">NYLOCK NUT - (GR8) M6X1.0 </t>
  </si>
  <si>
    <t>(GR8) M6X1.0</t>
  </si>
  <si>
    <t xml:space="preserve">NYLOCK NUT - (GR8) M8X1.25 </t>
  </si>
  <si>
    <t>(GR8) M8X1.25</t>
  </si>
  <si>
    <t xml:space="preserve">NYLOCK NUT - (GR8) M8x1.25 </t>
  </si>
  <si>
    <t>(GR8) M8x1.25</t>
  </si>
  <si>
    <t>SEAL KIT</t>
  </si>
  <si>
    <t>SEAL KIT - 2.0” X 1.125”  TC</t>
  </si>
  <si>
    <t xml:space="preserve">2.0” X 1.125” </t>
  </si>
  <si>
    <t>SEAL KIT - 2.5” X 1.125” TC</t>
  </si>
  <si>
    <t>2.5” X 1.125”</t>
  </si>
  <si>
    <t>SEAL KIT - 2.5” X 1.25” TC</t>
  </si>
  <si>
    <t>2.5” X 1.25”</t>
  </si>
  <si>
    <t>SEAL KIT - 3.0” X 1.25” TC</t>
  </si>
  <si>
    <t>3.0” X 1.25”</t>
  </si>
  <si>
    <t>SEAL KIT - 3.0” X 1.5” TC</t>
  </si>
  <si>
    <t>3.0” X 1.5”</t>
  </si>
  <si>
    <t>SEAL KIT - 3.5” X 1.25” TC</t>
  </si>
  <si>
    <t>3.5” X 1.25”</t>
  </si>
  <si>
    <t>SEAL KIT - 3.5” X 1.5” TC</t>
  </si>
  <si>
    <t>3.5” X 1.5”</t>
  </si>
  <si>
    <t>SEAL KIT - 4.0” X 1.25” TC</t>
  </si>
  <si>
    <t>4.0” X 1.25”</t>
  </si>
  <si>
    <t>SEAL KIT - 4.0” X 1.5” TC</t>
  </si>
  <si>
    <t>4.0” X 1.5”</t>
  </si>
  <si>
    <t>SEAL KIT - 4.0” X 1.75” TC</t>
  </si>
  <si>
    <t>4.0” X 1.75”</t>
  </si>
  <si>
    <t>SEAL KIT - 4.0” X 2.0” TC</t>
  </si>
  <si>
    <t>4.0” X 2.0”</t>
  </si>
  <si>
    <t>SEAL KIT - 1.0" X 0.625" WT/WC</t>
  </si>
  <si>
    <t>1.0" X 0.625"</t>
  </si>
  <si>
    <t>SEAL KIT - 1.375” X 0.75”  WT/WC</t>
  </si>
  <si>
    <t xml:space="preserve">1.375” X 0.75” </t>
  </si>
  <si>
    <t>SEAL KIT - 1.5” X 1.0”  WT/WC</t>
  </si>
  <si>
    <t xml:space="preserve">1.5” X 1.0” </t>
  </si>
  <si>
    <t>SEAL KIT - 1.625" X 1.25” WT/WC</t>
  </si>
  <si>
    <t>1.625" X 1.25”</t>
  </si>
  <si>
    <t>SEAL KIT - 1.75” X 1.5” WT/WC</t>
  </si>
  <si>
    <t>1.75” X 1.5”</t>
  </si>
  <si>
    <t>SEAL KIT - 1.875” X 1.5” WT/WC</t>
  </si>
  <si>
    <t>1.875” X 1.5”</t>
  </si>
  <si>
    <t>SEAL KIT - 2.0” X 1.0” WT/WC</t>
  </si>
  <si>
    <t>2.0” X 1.0”</t>
  </si>
  <si>
    <t>SEAL KIT - 2.0” X 1.25”  WT/WC</t>
  </si>
  <si>
    <t xml:space="preserve">2.0” X 1.25” </t>
  </si>
  <si>
    <t>SEAL KIT - 2.25” X 1.5” WT/WC</t>
  </si>
  <si>
    <t>2.25” X 1.5”</t>
  </si>
  <si>
    <t>SEAL KIT - 2.5” X 1.125” WT/WC</t>
  </si>
  <si>
    <t>SEAL KIT - 2.5" X 1.375” WT/WC</t>
  </si>
  <si>
    <t>2.5" X 1.375”</t>
  </si>
  <si>
    <t>SEAL KIT - 2.5” X 1.75” WT/WC</t>
  </si>
  <si>
    <t>2.5” X 1.75”</t>
  </si>
  <si>
    <t>SEAL KIT - 2.5” X 1.5” WT/WC</t>
  </si>
  <si>
    <t>2.5” X 1.5”</t>
  </si>
  <si>
    <t>SEAL KIT - 2.75” X 1.125” WT/WC</t>
  </si>
  <si>
    <t>2.75” X 1.125”</t>
  </si>
  <si>
    <t>SEAL KIT - 2.75” X 1.25” WT/WC</t>
  </si>
  <si>
    <t>2.75” X 1.25”</t>
  </si>
  <si>
    <t>SEAL KIT - 3.0” X 1.25” WT/WC</t>
  </si>
  <si>
    <t>SEAL KIT - 3.0” X 1.5” WT/WC</t>
  </si>
  <si>
    <t>SEAL KIT - 3.25” X 1.25” WT/WC</t>
  </si>
  <si>
    <t>3.25” X 1.25”</t>
  </si>
  <si>
    <t>SEAL KIT - 3.25” X 2.75”  WT/WC</t>
  </si>
  <si>
    <t xml:space="preserve">3.25” X 2.75” </t>
  </si>
  <si>
    <t>SEAL KIT - 3.5” X 1.25”  WT/WC</t>
  </si>
  <si>
    <t xml:space="preserve">3.5” X 1.25” </t>
  </si>
  <si>
    <t>SEAL KIT - 3.5” X 1.5” WT/WC</t>
  </si>
  <si>
    <t>SEAL KIT - 3.5” X 1.75” WT/WC</t>
  </si>
  <si>
    <t>3.5” X 1.75”</t>
  </si>
  <si>
    <t>SEAL KIT - 3.5” X 2.25” WT/WC</t>
  </si>
  <si>
    <t>3.5” X 2.25”</t>
  </si>
  <si>
    <t>SEAL KIT - 4.0” X 1.5” WT/WC</t>
  </si>
  <si>
    <t>SEAL KIT - 4.0” X 1.75” WT/WC</t>
  </si>
  <si>
    <t>SEAL KIT - 4.0” X 2.0” WT/WC</t>
  </si>
  <si>
    <t>SEAL KIT - 4.5” X 1.75”  WT/WC</t>
  </si>
  <si>
    <t xml:space="preserve">4.5” X 1.75” </t>
  </si>
  <si>
    <t>SEAL KIT - 4.5" X 2.5” WT/WC</t>
  </si>
  <si>
    <t>4.5" X 2.5”</t>
  </si>
  <si>
    <t>SEAL KIT - 5.0” X 1.5” WT/WC</t>
  </si>
  <si>
    <t>5.0” X 1.5”</t>
  </si>
  <si>
    <t>SEAL KIT - 5.0” X 2.0” WT/WC</t>
  </si>
  <si>
    <t>5.0” X 2.0”</t>
  </si>
  <si>
    <t>SEAL KIT - 5.0” X 2.25” WT/WC</t>
  </si>
  <si>
    <t>5.0” X 2.25”</t>
  </si>
  <si>
    <t>SEAL KIT - 5.0” X 2.5” WT/WC</t>
  </si>
  <si>
    <t>5.0” X 2.5”</t>
  </si>
  <si>
    <t>SEAL KIT - 6.0” X 2.5” WT/WC</t>
  </si>
  <si>
    <t>6.0” X 2.5”</t>
  </si>
  <si>
    <t>SEAL KIT - 6.0” X 3.5” WT/WC</t>
  </si>
  <si>
    <t>6.0” X 3.5”</t>
  </si>
  <si>
    <t>SEAL KIT - 6.5" X 3.0” WT/WC</t>
  </si>
  <si>
    <t>6.5" X 3.0”</t>
  </si>
  <si>
    <t>SEAL KIT - 8.0" X 1.5” WT/WC</t>
  </si>
  <si>
    <t>8.0" X 1.5”</t>
  </si>
  <si>
    <t>SEAL KIT - 8.0" X 4.0” WT/WC</t>
  </si>
  <si>
    <t>8.0" X 4.0”</t>
  </si>
  <si>
    <t xml:space="preserve">SEAL KIT - 25MM X 15MM </t>
  </si>
  <si>
    <t xml:space="preserve">25MM X 15MM </t>
  </si>
  <si>
    <t>SEAL KIT - 32MM X 19MM</t>
  </si>
  <si>
    <t>32MM X 19MM</t>
  </si>
  <si>
    <t>SEAL KIT - 45MM X 38MM</t>
  </si>
  <si>
    <t>45MM X 38MM</t>
  </si>
  <si>
    <t>SEAL KIT - 50MM X 25MM</t>
  </si>
  <si>
    <t>50MM X 25MM</t>
  </si>
  <si>
    <t>SEAL KIT - 50MM X 30MM</t>
  </si>
  <si>
    <t>50MM X 30MM</t>
  </si>
  <si>
    <t>SEAL KIT - 50MM X 36MM</t>
  </si>
  <si>
    <t>50MM X 36MM</t>
  </si>
  <si>
    <t>SEAL KIT - 55MM X 30MM</t>
  </si>
  <si>
    <t>55MM X 30MM</t>
  </si>
  <si>
    <t>SEAL KIT - 100MM X 56MM</t>
  </si>
  <si>
    <t>100MM X 56MM</t>
  </si>
  <si>
    <t>SEAL KIT - 100MM X 60MM</t>
  </si>
  <si>
    <t>100MM X 60MM</t>
  </si>
  <si>
    <t>SEAL KIT - 110MM X57MM</t>
  </si>
  <si>
    <t>110MM X57MM</t>
  </si>
  <si>
    <t>SEAL KIT - 115MM X56MM</t>
  </si>
  <si>
    <t>115MM X56MM</t>
  </si>
  <si>
    <t>SEAL KIT - 150MM X80MM</t>
  </si>
  <si>
    <t>150MM X80MM</t>
  </si>
  <si>
    <t>SEAL KIT - 1.5" X 1.0" KGD</t>
  </si>
  <si>
    <t>1.5" X 1.0"</t>
  </si>
  <si>
    <t>SEAL KIT - 2.0" X 1.25" KGD</t>
  </si>
  <si>
    <t>2.0" X 1.25"</t>
  </si>
  <si>
    <t>SEAL KIT - 2.0” X 1.5” KGD</t>
  </si>
  <si>
    <t>2.0” X 1.5”</t>
  </si>
  <si>
    <t>SEAL KIT - 3.5” X 2.0” KGD</t>
  </si>
  <si>
    <t>3.5” X 2.0”</t>
  </si>
  <si>
    <t>SEAL KIT - 4.0” X 2.0” KGD</t>
  </si>
  <si>
    <t>SEAL KIT - 1.75” X 1.0” KGD</t>
  </si>
  <si>
    <t>1.75” X 1.0”</t>
  </si>
  <si>
    <t>SEAL KIT - 4.0” X 2.5” KGD</t>
  </si>
  <si>
    <t>4.0” X 2.5”</t>
  </si>
  <si>
    <t>SEAL KIT - 4.0" X 3.0” KGD</t>
  </si>
  <si>
    <t>4.0" X 3.0”</t>
  </si>
  <si>
    <t>SEAL KIT - 4.0” X 2.25” KGD</t>
  </si>
  <si>
    <t>4.0” X 2.25”</t>
  </si>
  <si>
    <t>SEAL KIT - 5.0” X 2.0” KGD</t>
  </si>
  <si>
    <t>SEAL KIT - 32MM X 20MM KGD</t>
  </si>
  <si>
    <t>32MM X 20MM</t>
  </si>
  <si>
    <t>SEAL KIT - 35MM X 20MM KGD</t>
  </si>
  <si>
    <t>35MM X 20MM</t>
  </si>
  <si>
    <t>SEAL KIT - 40MM X 25MM KGD</t>
  </si>
  <si>
    <t>40MM X 25MM</t>
  </si>
  <si>
    <t>SEAL KIT - 50MM X 25MM KGD</t>
  </si>
  <si>
    <t>SEAL KIT - 50MM X 30MM KGD</t>
  </si>
  <si>
    <t>SEAL KIT - 50MM X 36MM KGD</t>
  </si>
  <si>
    <t>SEAL KIT - 60MM X 30MM KGD</t>
  </si>
  <si>
    <t>60MM X 30MM</t>
  </si>
  <si>
    <t>SEAL KIT - 60MM X 35MM KGD</t>
  </si>
  <si>
    <t>60MM X 35MM</t>
  </si>
  <si>
    <t>SEAL KIT - 63MM X 32MM KGD</t>
  </si>
  <si>
    <t>63MM X 32MM</t>
  </si>
  <si>
    <t>SEAL KIT - 63MM X 35MM KGD</t>
  </si>
  <si>
    <t>63MM X 35MM</t>
  </si>
  <si>
    <t>SEAL KIT - 63MM X 40MM KGD</t>
  </si>
  <si>
    <t>63MM X 40MM</t>
  </si>
  <si>
    <t>SEAL KIT - 70MM X 35MM KGD</t>
  </si>
  <si>
    <t>70MM X 35MM</t>
  </si>
  <si>
    <t>SEAL KIT - 70MM X 40MM KGD</t>
  </si>
  <si>
    <t>70MM X 40MM</t>
  </si>
  <si>
    <t>SEAL KIT - 80MM X 40MM KGD</t>
  </si>
  <si>
    <t>80MM X 40MM</t>
  </si>
  <si>
    <t>SEAL KIT - 80MM X 50MM KGD</t>
  </si>
  <si>
    <t>80MM X 50MM</t>
  </si>
  <si>
    <t>SEAL KIT - 80MM X 56MM KGD</t>
  </si>
  <si>
    <t>80MM X 56MM</t>
  </si>
  <si>
    <t>SEAL KIT - 90MM X 40MM KGD</t>
  </si>
  <si>
    <t>90MM X 40MM</t>
  </si>
  <si>
    <t>SEAL KIT - 90MM X 50MM KGD</t>
  </si>
  <si>
    <t>90MM X 50MM</t>
  </si>
  <si>
    <t>SEAL KIT - 90MM X 60MM KGD</t>
  </si>
  <si>
    <t>90MM X 60MM</t>
  </si>
  <si>
    <t>SEAL KIT - 110MM X56MM KGD</t>
  </si>
  <si>
    <t>110MM X56MM</t>
  </si>
  <si>
    <t>SEAL KIT - 140MM X76MM KGD</t>
  </si>
  <si>
    <t>140MM X76MM</t>
  </si>
  <si>
    <t>SEAL KIT - 2.016” X 1.0” SPL</t>
  </si>
  <si>
    <t>2.016” X 1.0”</t>
  </si>
  <si>
    <t>TLON PISTON SEAL &amp; UCUP ROD SEAL USED</t>
  </si>
  <si>
    <t>SEAL KIT - 2.25” X 2.0” SPL</t>
  </si>
  <si>
    <t>2.25” X 2.0”</t>
  </si>
  <si>
    <t xml:space="preserve">ROD SEAL PRICE HIGH </t>
  </si>
  <si>
    <t>SEAL KIT - 3.0” X 1.75” SPL</t>
  </si>
  <si>
    <t>3.0” X 1.75”</t>
  </si>
  <si>
    <t>HALLITE PISTON SEAL USED</t>
  </si>
  <si>
    <t>SEAL KIT - 3.0” X 2.0” SPL</t>
  </si>
  <si>
    <t>3.0” X 2.0”</t>
  </si>
  <si>
    <t>HALLITE ROD SEAL USED</t>
  </si>
  <si>
    <t>SEAL KIT - 3.5” X 2.5” SPL</t>
  </si>
  <si>
    <t>3.5” X 2.5”</t>
  </si>
  <si>
    <t>SEAL KIT - 4.0” X 2.25” SPL</t>
  </si>
  <si>
    <t xml:space="preserve">ROD SEAL U-CUP </t>
  </si>
  <si>
    <t>SEAL KIT - 4.5” X 2.75” SPL</t>
  </si>
  <si>
    <t>4.5” X 2.75”</t>
  </si>
  <si>
    <t>SEAL KIT - 5.5" X 2.0” SPL</t>
  </si>
  <si>
    <t>5.5" X 2.0”</t>
  </si>
  <si>
    <t>PISTON SEAL - HALLITE</t>
  </si>
  <si>
    <t>SEAL KIT - 7.0" X 3.0” SPL</t>
  </si>
  <si>
    <t>7.0" X 3.0”</t>
  </si>
  <si>
    <t>PISTON SEAL - BRNYL</t>
  </si>
  <si>
    <t>SEAL KIT - 130MM X70MM SPL</t>
  </si>
  <si>
    <t>130MM X70MM</t>
  </si>
  <si>
    <t>KASTAS PISTON SEAL &amp; HALLITE ROD SEAL USED</t>
  </si>
  <si>
    <t>SEAL KIT - 160MM X90MM SPL</t>
  </si>
  <si>
    <t>160MM X90MM</t>
  </si>
  <si>
    <t>HALLITE PISTON, ROD &amp; WIPER SEAL USED</t>
  </si>
  <si>
    <t>MACHINING COST BORE 2.5" X STROKE 180MM X ROD 1.5" ASSY</t>
  </si>
  <si>
    <t>Component</t>
  </si>
  <si>
    <t>Operation #</t>
  </si>
  <si>
    <t>Operation description</t>
  </si>
  <si>
    <t>Machine used</t>
  </si>
  <si>
    <t>Cycle time (min)</t>
  </si>
  <si>
    <t>Setup time (min)</t>
  </si>
  <si>
    <t>Qty per cycle</t>
  </si>
  <si>
    <t>Machine cost/min (₹)</t>
  </si>
  <si>
    <t>Machine cost / cycle (₹)</t>
  </si>
  <si>
    <t>Set up cost (₹)</t>
  </si>
  <si>
    <t>Set up cost /Qty (₹)</t>
  </si>
  <si>
    <t>Total cost (₹)</t>
  </si>
  <si>
    <t>Total cost
(USD)</t>
  </si>
  <si>
    <t>Machine</t>
  </si>
  <si>
    <t>Cost per minute (₹)</t>
  </si>
  <si>
    <t>Cutting</t>
  </si>
  <si>
    <t>Circular Saw</t>
  </si>
  <si>
    <t>VMC</t>
  </si>
  <si>
    <t>Sizing &amp; Facing</t>
  </si>
  <si>
    <t>Other</t>
  </si>
  <si>
    <t>CNC</t>
  </si>
  <si>
    <t>Drilling</t>
  </si>
  <si>
    <t>Machining</t>
  </si>
  <si>
    <t>Turning</t>
  </si>
  <si>
    <t>CYLINDER SURFACE AREA</t>
  </si>
  <si>
    <t>Units</t>
  </si>
  <si>
    <t>Value</t>
  </si>
  <si>
    <r>
      <t xml:space="preserve">Tube Outer </t>
    </r>
    <r>
      <t/>
    </r>
    <r>
      <t>Ø</t>
    </r>
  </si>
  <si>
    <t>mm</t>
  </si>
  <si>
    <t>Retracted Length</t>
  </si>
  <si>
    <t>Cylinder Surface Area</t>
  </si>
  <si>
    <t>Sq.m</t>
  </si>
  <si>
    <t>TOTAL PAINT COST PER CYLINDER AREA</t>
  </si>
  <si>
    <t>PAINT COST</t>
  </si>
  <si>
    <t>7 Tank Set Up cost</t>
  </si>
  <si>
    <t>Paint &amp; Thinner Cost</t>
  </si>
  <si>
    <t>Painter &amp; Helper Cost</t>
  </si>
  <si>
    <t>Power Cost</t>
  </si>
  <si>
    <t>Chemical Cost</t>
  </si>
  <si>
    <t>DM Water Cost</t>
  </si>
  <si>
    <t>Consumable Cost</t>
  </si>
  <si>
    <t>Total Cost</t>
  </si>
  <si>
    <t>Note :- Only Paint Cost Can able to edit here</t>
  </si>
  <si>
    <t>INPUTS</t>
  </si>
  <si>
    <t>Cylinder Area In Sq.m</t>
  </si>
  <si>
    <t>Total Sq.m</t>
  </si>
  <si>
    <t>PAINT &amp; THINNER CONSUMPTION DETAILS</t>
  </si>
  <si>
    <t>CHEMICAL CONSUMPTION DETAILS</t>
  </si>
  <si>
    <t>DM WATER CONSUMPTION DETAILS</t>
  </si>
  <si>
    <t>LABOUR DETAILS</t>
  </si>
  <si>
    <t>Formula</t>
  </si>
  <si>
    <t>Total Paint &amp; Thinner Consumption</t>
  </si>
  <si>
    <t>Litre</t>
  </si>
  <si>
    <t>BONDERITE C AK 1352 BA 
(Total Chemical Consumed)</t>
  </si>
  <si>
    <t>Kg</t>
  </si>
  <si>
    <t>Total DM Water Consumption</t>
  </si>
  <si>
    <t>Total Painters</t>
  </si>
  <si>
    <t>-</t>
  </si>
  <si>
    <t xml:space="preserve"> Paint &amp; Thinner Consumption Per Sq.m</t>
  </si>
  <si>
    <t>Paint &amp; Thinner Consumption / Total Sq.m</t>
  </si>
  <si>
    <t>BONDERITE C AK 1352 BA 
(Per Sq.m)</t>
  </si>
  <si>
    <t>Total Kg / Total Sq.m</t>
  </si>
  <si>
    <t>DM Water Consumption Per Sq.m</t>
  </si>
  <si>
    <t>Total Litres / Total Sq.m</t>
  </si>
  <si>
    <t>Painters Per Sq.m</t>
  </si>
  <si>
    <t>Total Painters/ Total Sq.m</t>
  </si>
  <si>
    <t>PAINT &amp; THINNER CONSUMPTION COST</t>
  </si>
  <si>
    <t>BONDERITE M NT 1 
(Total Chemical Consumed)</t>
  </si>
  <si>
    <t>DM WATER CONSUMPTION COST</t>
  </si>
  <si>
    <t>Total Helpers</t>
  </si>
  <si>
    <t>BONDERITE M NT 1 
(Per Sq.m)</t>
  </si>
  <si>
    <t>Helpers Per Sq.m</t>
  </si>
  <si>
    <t>Total Helpers / Total Sq.m</t>
  </si>
  <si>
    <t>Paint Cost Per Sq.m</t>
  </si>
  <si>
    <t>Rs</t>
  </si>
  <si>
    <t>Litre Per Sq.m * Rate Per Litre</t>
  </si>
  <si>
    <t>BONDERITE M AD 700
(Total Chemical Consumed)</t>
  </si>
  <si>
    <t xml:space="preserve">DM Water Consumption Cost Per Sq.m </t>
  </si>
  <si>
    <t>Water Consumption Per Sq.m * Cost Per Litre</t>
  </si>
  <si>
    <t>LABOUR COST</t>
  </si>
  <si>
    <t>Paint &amp; Thinner Consumption Cost For Cylinder Area</t>
  </si>
  <si>
    <t>Paint Cost  Per Sq.m * Cylinder Area</t>
  </si>
  <si>
    <t>BONDERITE M AD 700
(Per Sq.m)</t>
  </si>
  <si>
    <t xml:space="preserve"> DM Water Consumption Cost For Cylinder Area</t>
  </si>
  <si>
    <t>Water Consumption Per Sq.m * Cylinder Area</t>
  </si>
  <si>
    <t>1 LITRE COST</t>
  </si>
  <si>
    <t>BONDERITE C IC 2520
(Total Chemical Consumed)</t>
  </si>
  <si>
    <t>Total Painters Cost Per Sq.m</t>
  </si>
  <si>
    <t>Paint</t>
  </si>
  <si>
    <t>BONDERITE C IC 2520
(Per Sq.m)</t>
  </si>
  <si>
    <t>DM WATER</t>
  </si>
  <si>
    <t>Total Helpers Cost Per Sq.m</t>
  </si>
  <si>
    <t>CHEMICAL CONSUMPTION COST</t>
  </si>
  <si>
    <t>Painter Cost for Cylinder Area</t>
  </si>
  <si>
    <t>Total Painter Cost Per Sq.m * Cylinder Area</t>
  </si>
  <si>
    <t>CONSUMABLE CONSUMPTION DETAILS</t>
  </si>
  <si>
    <t>POWER CONSUMPTION DETAILS</t>
  </si>
  <si>
    <t>Helper Cost for Cylinder Area</t>
  </si>
  <si>
    <t xml:space="preserve"> Alkaline Consumption Cost Per Sq.m 
(BONDERITE C AK 1352 BA)</t>
  </si>
  <si>
    <t>Chemical Per Sq.m * Rate Per Sq.m</t>
  </si>
  <si>
    <t>Total Man Power Cost For Cylinder Area</t>
  </si>
  <si>
    <t>Total Consumables Used</t>
  </si>
  <si>
    <t>Qty</t>
  </si>
  <si>
    <t xml:space="preserve"> Chemical Consumption Cost Per Sq.m 
(BONDERITE M NT 1 )</t>
  </si>
  <si>
    <t>Total Power Consumed (Units) - 
Pre Treatment</t>
  </si>
  <si>
    <t>Kw</t>
  </si>
  <si>
    <t>Man Power Cost</t>
  </si>
  <si>
    <t>Consumables Per Sq.m</t>
  </si>
  <si>
    <t>Total Consumables Used / Total Sq.m</t>
  </si>
  <si>
    <t>Chemical Consumption Cost Per Sq.m 
(BONDERITE M AD 700 )</t>
  </si>
  <si>
    <t>Power Consumption Per Unit Area (Pre-Treatment)</t>
  </si>
  <si>
    <t>Total Power Consumed / Total Sq.m</t>
  </si>
  <si>
    <t xml:space="preserve">Painters  </t>
  </si>
  <si>
    <t>CONSUMABLE CONSUMPTION COST</t>
  </si>
  <si>
    <t xml:space="preserve"> Chemical Consumption Cost Per Sq.m 
(BONDERITE C IC 2520 )</t>
  </si>
  <si>
    <t>Total Power Consumed (Units) - 
Paint booth</t>
  </si>
  <si>
    <t xml:space="preserve">Helpers  </t>
  </si>
  <si>
    <t xml:space="preserve"> Alkaline Consumption Cost For Cylinder Area
(BONDERITE C AK 1352 BA)</t>
  </si>
  <si>
    <t>Alkaline Consumed Per Sq.m * Cylinder Area</t>
  </si>
  <si>
    <t>Power Consumption Per Unit Area (Paint booth)</t>
  </si>
  <si>
    <t>Consumable Consumption Per Sq.m</t>
  </si>
  <si>
    <t>Consumable Consumption Per Sq.m * Unit Cost</t>
  </si>
  <si>
    <t>Chemical Consumption Cost For Cylinder Area
(BONDERITE M NT 1 )</t>
  </si>
  <si>
    <t>POWER CONSUMPTION COST</t>
  </si>
  <si>
    <t>Consumable Consumption For Cylinder Area</t>
  </si>
  <si>
    <t>Consumable Consumption Per Sq.m * Cylinder Area</t>
  </si>
  <si>
    <t>Chemical Consumption Cost For Cylinder Area
(BONDERITE M AD 700 )</t>
  </si>
  <si>
    <t>1 UNIT COST</t>
  </si>
  <si>
    <t>Chemical Consumption Cost For Cylinder Area
(BONDERITE C IC 2520 )</t>
  </si>
  <si>
    <t>Power Consumption Cost Per Sq.m (Pre-Treatment)</t>
  </si>
  <si>
    <t>Power Per Sq.m * Rate Per Sq.m</t>
  </si>
  <si>
    <t xml:space="preserve">Consumable </t>
  </si>
  <si>
    <t>Total Chemical Consumption Cost For Cylinder area</t>
  </si>
  <si>
    <t>Power Consumption Cost Per Sq.m (Paint booth)</t>
  </si>
  <si>
    <t>7 TANK SET UP COST</t>
  </si>
  <si>
    <t>1 KG Cost</t>
  </si>
  <si>
    <t>Power Consumption Cost For Cylinder Area (Pre-Treatment)</t>
  </si>
  <si>
    <t>Power Consumption Cost Per Sq.m* Cylinder Area</t>
  </si>
  <si>
    <t xml:space="preserve">BONDERITE C AK 1352 BA </t>
  </si>
  <si>
    <t>Power Consumption Cost For Cylinder Area (Paint booth)</t>
  </si>
  <si>
    <t>Power Consumption Cost Per Sq.m * Cylinder Area</t>
  </si>
  <si>
    <t>Annual Cost</t>
  </si>
  <si>
    <t>Set up cost / No. of years</t>
  </si>
  <si>
    <t>BONDERITE M NT 1</t>
  </si>
  <si>
    <t>Total Power Consumption Cost For Cylinder Area</t>
  </si>
  <si>
    <t>Annual Sqm</t>
  </si>
  <si>
    <t>Sq.m Per month * 12</t>
  </si>
  <si>
    <t>BONDERITE M AD 700</t>
  </si>
  <si>
    <t>1 Unit Cost</t>
  </si>
  <si>
    <t>7 Tank Cost Per Sq.m</t>
  </si>
  <si>
    <t>Annual Cost / Annual Sq.m</t>
  </si>
  <si>
    <t>BONDERITE C IC 2520</t>
  </si>
  <si>
    <t>Pre-Treatment</t>
  </si>
  <si>
    <t>7 Tank Cost for cylinder area</t>
  </si>
  <si>
    <t>7 Tank Cost Per Sq.m* Cylinder area</t>
  </si>
  <si>
    <t>Paint booth</t>
  </si>
  <si>
    <t>CNC MACHINING COST</t>
  </si>
  <si>
    <t>PART</t>
  </si>
  <si>
    <t>0.5"</t>
  </si>
  <si>
    <t>0.75"</t>
  </si>
  <si>
    <t>1.0"</t>
  </si>
  <si>
    <t>1.25"</t>
  </si>
  <si>
    <t>1.75"</t>
  </si>
  <si>
    <t>2.0"</t>
  </si>
  <si>
    <t>2.25"</t>
  </si>
  <si>
    <t>2.75"</t>
  </si>
  <si>
    <t>3.0"</t>
  </si>
  <si>
    <t>3.5"</t>
  </si>
  <si>
    <t>4.0"</t>
  </si>
  <si>
    <t>4.5"</t>
  </si>
  <si>
    <t>5.0"</t>
  </si>
  <si>
    <t>5.5"</t>
  </si>
  <si>
    <t>6.0"</t>
  </si>
  <si>
    <t>7.0"</t>
  </si>
  <si>
    <t>8.0"</t>
  </si>
  <si>
    <t>10.0"</t>
  </si>
  <si>
    <t xml:space="preserve">usd </t>
  </si>
  <si>
    <t>PSITON</t>
  </si>
</sst>
</file>

<file path=xl/styles.xml><?xml version="1.0" encoding="utf-8"?>
<styleSheet xmlns="http://schemas.openxmlformats.org/spreadsheetml/2006/main">
  <numFmts count="13">
    <numFmt formatCode="#0.000" numFmtId="164"/>
    <numFmt formatCode="# &quot;Nos&quot;" numFmtId="165"/>
    <numFmt formatCode="#0" numFmtId="166"/>
    <numFmt formatCode="#0.00 &quot;Kgs&quot;" numFmtId="167"/>
    <numFmt formatCode="#0.00&quot;/Kgs&quot;" numFmtId="168"/>
    <numFmt formatCode="#0.00" numFmtId="169"/>
    <numFmt formatCode="#0.00&quot;/Nos&quot;" numFmtId="170"/>
    <numFmt formatCode="&quot;PROCESS REJECTIONS &quot;#&quot;%&quot;" numFmtId="171"/>
    <numFmt formatCode="&quot;OH &quot;#&quot;%&quot;" numFmtId="172"/>
    <numFmt formatCode="&quot;Price with &quot;#&quot;% Margin&quot;" numFmtId="173"/>
    <numFmt formatCode="&quot;$ &quot;#0.00" numFmtId="174"/>
    <numFmt formatCode="# &quot;kg/m3&quot;" numFmtId="175"/>
    <numFmt formatCode="#0.0000" numFmtId="176"/>
  </numFmts>
  <fonts count="29">
    <font>
      <sz val="11"/>
      <color rgb="FF000000"/>
      <name val="Calibri"/>
    </font>
    <font>
      <sz val="9"/>
      <color rgb="FFFF0000"/>
      <name val="Bookman Old Style"/>
    </font>
    <font>
      <b/>
      <sz val="20"/>
      <color rgb="FF0000FF"/>
      <name val="Times New Roman"/>
    </font>
    <font>
      <b/>
      <sz val="14"/>
      <name val="Bookman Old Style"/>
    </font>
    <font>
      <b/>
      <sz val="12"/>
      <name val="Bookman Old Style"/>
    </font>
    <font>
      <sz val="9"/>
      <name val="Bookman Old Style"/>
    </font>
    <font>
      <b/>
      <sz val="10"/>
      <name val="Bookman Old Style"/>
    </font>
    <font>
      <sz val="10"/>
      <name val="Bookman Old Style"/>
    </font>
    <font>
      <sz val="22"/>
      <color rgb="FFFF0000"/>
      <name val="Bookman Old Style"/>
    </font>
    <font>
      <sz val="11"/>
      <name val="Calibri"/>
    </font>
    <font>
      <sz val="10"/>
      <color rgb="FFFF0000"/>
      <name val="Bookman Old Style"/>
    </font>
    <font>
      <b/>
      <sz val="9"/>
      <name val="Bookman Old Style"/>
    </font>
    <font>
      <b/>
      <sz val="14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sz val="12"/>
      <name val="Calibri"/>
    </font>
    <font>
      <b/>
      <sz val="11"/>
      <name val="Arial"/>
    </font>
    <font>
      <sz val="11"/>
      <name val="Arial"/>
    </font>
    <font>
      <b/>
      <sz val="12"/>
      <name val="Calibri"/>
    </font>
    <font>
      <b/>
      <sz val="16"/>
      <name val="Calibri"/>
    </font>
    <font>
      <b/>
      <sz val="14"/>
      <name val="Arial"/>
    </font>
    <font>
      <sz val="14"/>
      <name val="Calibri"/>
    </font>
    <font>
      <b/>
      <i/>
      <sz val="12"/>
      <name val="Calibri"/>
    </font>
    <font>
      <b/>
      <sz val="11"/>
      <name val="Calibri"/>
    </font>
    <font>
      <b/>
      <i/>
      <sz val="16"/>
      <name val="Calibri"/>
    </font>
    <font>
      <b/>
      <sz val="18"/>
      <name val="Calibri"/>
    </font>
    <font>
      <b/>
      <i/>
      <sz val="18"/>
      <color rgb="FFFF0000"/>
      <name val="Calibri"/>
    </font>
    <font>
      <b/>
      <i/>
      <sz val="18"/>
      <name val="Calibri"/>
    </font>
    <font>
      <sz val="11"/>
      <color rgb="FFFF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C3D69B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6E0E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CD5B4"/>
        <bgColor rgb="FFFCD5B4"/>
      </patternFill>
    </fill>
    <fill>
      <patternFill patternType="solid">
        <fgColor rgb="FFC6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CD5B4"/>
      </patternFill>
    </fill>
    <fill>
      <patternFill patternType="solid">
        <fgColor rgb="FFFFFFFF"/>
        <bgColor rgb="FFC5D9F1"/>
      </patternFill>
    </fill>
    <fill>
      <patternFill patternType="solid">
        <fgColor rgb="FFFDEADA"/>
        <bgColor rgb="FF000000"/>
      </patternFill>
    </fill>
    <fill>
      <patternFill patternType="solid">
        <fgColor rgb="FFDBEEF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2F2F2"/>
        <bgColor rgb="FF0000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21">
    <xf borderId="0" fillId="0" fontId="0" numFmtId="0" xfId="0">
      <alignment vertical="bottom"/>
    </xf>
    <xf borderId="0" fillId="0" fontId="1" numFmtId="0" xfId="0">
      <alignment vertical="bottom"/>
    </xf>
    <xf borderId="0" fillId="0" fontId="1" numFmtId="0" xfId="0">
      <alignment horizontal="left" vertical="bottom"/>
    </xf>
    <xf borderId="0" fillId="0" fontId="1" numFmtId="164" xfId="0">
      <alignment horizontal="left" vertical="bottom"/>
    </xf>
    <xf borderId="0" fillId="0" fontId="1" numFmtId="0" xfId="0">
      <alignment horizontal="center" vertical="center"/>
    </xf>
    <xf borderId="1" fillId="2" fontId="2" numFmtId="0" xfId="0">
      <alignment horizontal="center" vertical="center"/>
    </xf>
    <xf borderId="2" fillId="2" fontId="2" numFmtId="0" xfId="0">
      <alignment horizontal="center" vertical="center"/>
    </xf>
    <xf borderId="3" fillId="2" fontId="2" numFmtId="0" xfId="0">
      <alignment horizontal="center" vertical="center"/>
    </xf>
    <xf borderId="4" fillId="3" fontId="3" numFmtId="0" xfId="0">
      <alignment horizontal="center" vertical="center"/>
    </xf>
    <xf borderId="5" fillId="3" fontId="3" numFmtId="0" xfId="0">
      <alignment horizontal="center" vertical="center"/>
    </xf>
    <xf borderId="6" fillId="3" fontId="3" numFmtId="0" xfId="0">
      <alignment horizontal="center" vertical="center"/>
    </xf>
    <xf borderId="4" fillId="0" fontId="4" numFmtId="0" xfId="0">
      <alignment horizontal="left" vertical="center" wrapText="1"/>
    </xf>
    <xf borderId="5" fillId="0" fontId="4" numFmtId="0" xfId="0">
      <alignment horizontal="left" vertical="center" wrapText="1"/>
    </xf>
    <xf borderId="6" fillId="0" fontId="4" numFmtId="0" xfId="0">
      <alignment horizontal="left" vertical="center" wrapText="1"/>
    </xf>
    <xf borderId="0" fillId="0" fontId="5" numFmtId="0" xfId="0">
      <alignment vertical="bottom"/>
    </xf>
    <xf borderId="7" fillId="4" fontId="6" numFmtId="0" xfId="0">
      <alignment horizontal="center" vertical="center"/>
    </xf>
    <xf borderId="8" fillId="4" fontId="6" numFmtId="0" xfId="0">
      <alignment horizontal="center" vertical="center"/>
    </xf>
    <xf borderId="8" fillId="4" fontId="6" numFmtId="0" xfId="0">
      <alignment horizontal="center" vertical="center" wrapText="1"/>
    </xf>
    <xf borderId="8" fillId="4" fontId="6" numFmtId="164" xfId="0">
      <alignment horizontal="center" vertical="center"/>
    </xf>
    <xf borderId="9" fillId="4" fontId="6" numFmtId="0" xfId="0">
      <alignment horizontal="center" vertical="center"/>
    </xf>
    <xf borderId="10" fillId="4" fontId="7" numFmtId="0" xfId="0">
      <alignment horizontal="center" vertical="center"/>
    </xf>
    <xf borderId="11" fillId="4" fontId="7" numFmtId="0" xfId="0">
      <alignment horizontal="center" vertical="center" wrapText="1"/>
    </xf>
    <xf borderId="11" fillId="4" fontId="7" numFmtId="165" xfId="0">
      <alignment horizontal="center" vertical="center"/>
    </xf>
    <xf borderId="11" fillId="4" fontId="7" numFmtId="164" xfId="0">
      <alignment horizontal="center" vertical="center"/>
    </xf>
    <xf borderId="11" fillId="4" fontId="7" numFmtId="0" xfId="0">
      <alignment horizontal="center" vertical="center"/>
    </xf>
    <xf borderId="11" fillId="0" fontId="7" numFmtId="166" xfId="0">
      <alignment horizontal="center" vertical="center"/>
    </xf>
    <xf borderId="11" fillId="0" fontId="7" numFmtId="0" xfId="0">
      <alignment horizontal="center" vertical="center"/>
    </xf>
    <xf borderId="11" fillId="5" fontId="7" numFmtId="167" xfId="0">
      <alignment horizontal="center" vertical="center" wrapText="1"/>
    </xf>
    <xf borderId="11" fillId="5" fontId="7" numFmtId="168" xfId="0">
      <alignment horizontal="center" vertical="center" wrapText="1"/>
    </xf>
    <xf borderId="11" fillId="5" fontId="7" numFmtId="169" xfId="0">
      <alignment horizontal="center" vertical="center" wrapText="1"/>
    </xf>
    <xf borderId="12" fillId="5" fontId="7" numFmtId="169" xfId="0">
      <alignment horizontal="center" vertical="center" wrapText="1"/>
    </xf>
    <xf borderId="0" fillId="0" fontId="8" numFmtId="0" xfId="0">
      <alignment vertical="bottom"/>
    </xf>
    <xf borderId="11" fillId="4" fontId="7" numFmtId="166" xfId="0">
      <alignment horizontal="center" vertical="center"/>
    </xf>
    <xf borderId="11" fillId="4" fontId="7" numFmtId="167" xfId="0">
      <alignment horizontal="center" vertical="center" wrapText="1"/>
    </xf>
    <xf borderId="11" fillId="4" fontId="7" numFmtId="168" xfId="0">
      <alignment horizontal="center" vertical="center" wrapText="1"/>
    </xf>
    <xf borderId="11" fillId="4" fontId="7" numFmtId="169" xfId="0">
      <alignment horizontal="center" vertical="center" wrapText="1"/>
    </xf>
    <xf borderId="12" fillId="4" fontId="7" numFmtId="169" xfId="0">
      <alignment horizontal="center" vertical="center" wrapText="1"/>
    </xf>
    <xf borderId="0" fillId="4" fontId="5" numFmtId="0" xfId="0">
      <alignment vertical="bottom"/>
    </xf>
    <xf borderId="0" fillId="4" fontId="1" numFmtId="0" xfId="0">
      <alignment vertical="bottom"/>
    </xf>
    <xf borderId="0" fillId="4" fontId="5" numFmtId="169" xfId="0">
      <alignment horizontal="center" vertical="center"/>
    </xf>
    <xf borderId="0" fillId="0" fontId="5" numFmtId="0" xfId="0">
      <alignment horizontal="center" vertical="center"/>
    </xf>
    <xf borderId="0" fillId="0" fontId="5" numFmtId="169" xfId="0">
      <alignment horizontal="center" vertical="center"/>
    </xf>
    <xf borderId="0" fillId="0" fontId="9" numFmtId="0" xfId="0">
      <alignment vertical="bottom"/>
    </xf>
    <xf borderId="4" fillId="4" fontId="4" numFmtId="0" xfId="0">
      <alignment horizontal="left" vertical="center"/>
    </xf>
    <xf borderId="5" fillId="4" fontId="4" numFmtId="0" xfId="0">
      <alignment horizontal="left" vertical="center"/>
    </xf>
    <xf borderId="6" fillId="4" fontId="4" numFmtId="0" xfId="0">
      <alignment horizontal="left" vertical="center"/>
    </xf>
    <xf borderId="0" fillId="0" fontId="5" numFmtId="169" xfId="0">
      <alignment vertical="bottom"/>
    </xf>
    <xf borderId="13" fillId="4" fontId="7" numFmtId="164" xfId="0">
      <alignment horizontal="center" vertical="center" wrapText="1"/>
    </xf>
    <xf borderId="5" fillId="4" fontId="7" numFmtId="0" xfId="0">
      <alignment horizontal="center" vertical="center" wrapText="1"/>
    </xf>
    <xf borderId="14" fillId="4" fontId="7" numFmtId="0" xfId="0">
      <alignment horizontal="center" vertical="center" wrapText="1"/>
    </xf>
    <xf borderId="11" fillId="5" fontId="7" numFmtId="170" xfId="0">
      <alignment horizontal="center" vertical="center" wrapText="1"/>
    </xf>
    <xf borderId="11" fillId="0" fontId="7" numFmtId="169" xfId="0">
      <alignment horizontal="center" vertical="center" wrapText="1"/>
    </xf>
    <xf borderId="0" fillId="4" fontId="10" numFmtId="0" xfId="0">
      <alignment horizontal="center" vertical="center"/>
    </xf>
    <xf borderId="0" fillId="4" fontId="5" numFmtId="169" xfId="0">
      <alignment vertical="bottom"/>
    </xf>
    <xf borderId="15" fillId="4" fontId="7" numFmtId="0" xfId="0">
      <alignment horizontal="center" vertical="bottom"/>
    </xf>
    <xf borderId="0" fillId="4" fontId="7" numFmtId="0" xfId="0">
      <alignment horizontal="left" vertical="bottom"/>
    </xf>
    <xf borderId="0" fillId="4" fontId="7" numFmtId="0" xfId="0">
      <alignment vertical="bottom"/>
    </xf>
    <xf borderId="0" fillId="4" fontId="7" numFmtId="164" xfId="0">
      <alignment horizontal="left" vertical="center"/>
    </xf>
    <xf borderId="0" fillId="4" fontId="7" numFmtId="0" xfId="0">
      <alignment horizontal="center" vertical="center"/>
    </xf>
    <xf borderId="11" fillId="4" fontId="3" numFmtId="0" xfId="0">
      <alignment horizontal="center" vertical="center"/>
    </xf>
    <xf borderId="11" fillId="0" fontId="7" numFmtId="170" xfId="0">
      <alignment horizontal="center" vertical="center" wrapText="1"/>
    </xf>
    <xf borderId="11" fillId="5" fontId="11" numFmtId="169" xfId="0">
      <alignment horizontal="center" vertical="center"/>
    </xf>
    <xf borderId="12" fillId="5" fontId="11" numFmtId="169" xfId="0">
      <alignment horizontal="center" vertical="center"/>
    </xf>
    <xf borderId="0" fillId="0" fontId="5" numFmtId="169" xfId="0">
      <alignment vertical="center"/>
    </xf>
    <xf borderId="11" fillId="4" fontId="4" numFmtId="0" xfId="0">
      <alignment horizontal="left" vertical="center"/>
    </xf>
    <xf borderId="0" fillId="4" fontId="7" numFmtId="164" xfId="0">
      <alignment horizontal="left" vertical="bottom"/>
    </xf>
    <xf borderId="0" fillId="4" fontId="6" numFmtId="0" xfId="0">
      <alignment vertical="center"/>
    </xf>
    <xf borderId="0" fillId="4" fontId="7" numFmtId="169" xfId="0">
      <alignment horizontal="right" vertical="center"/>
    </xf>
    <xf borderId="9" fillId="5" fontId="7" numFmtId="169" xfId="0">
      <alignment horizontal="center" vertical="center" wrapText="1"/>
    </xf>
    <xf borderId="0" fillId="0" fontId="1" numFmtId="169" xfId="0">
      <alignment horizontal="center" vertical="center"/>
    </xf>
    <xf borderId="0" fillId="0" fontId="1" numFmtId="169" xfId="0">
      <alignment vertical="bottom"/>
    </xf>
    <xf borderId="0" fillId="0" fontId="7" numFmtId="164" xfId="0">
      <alignment horizontal="left" vertical="bottom"/>
    </xf>
    <xf borderId="0" fillId="4" fontId="7" numFmtId="0" xfId="0">
      <alignment horizontal="left" vertical="center"/>
    </xf>
    <xf borderId="0" fillId="0" fontId="1" numFmtId="0" xfId="0">
      <alignment vertical="center"/>
    </xf>
    <xf borderId="0" fillId="4" fontId="7" numFmtId="171" xfId="0">
      <alignment horizontal="right" vertical="center"/>
    </xf>
    <xf borderId="0" fillId="0" fontId="1" numFmtId="0" xfId="0">
      <alignment horizontal="center" vertical="bottom"/>
    </xf>
    <xf borderId="15" fillId="4" fontId="7" numFmtId="0" xfId="0">
      <alignment horizontal="center" vertical="center"/>
    </xf>
    <xf borderId="0" fillId="4" fontId="7" numFmtId="164" xfId="0">
      <alignment horizontal="center" vertical="center"/>
    </xf>
    <xf borderId="0" fillId="0" fontId="7" numFmtId="172" xfId="0">
      <alignment horizontal="right" vertical="center"/>
    </xf>
    <xf borderId="12" fillId="0" fontId="7" numFmtId="169" xfId="0">
      <alignment horizontal="center" vertical="center" wrapText="1"/>
    </xf>
    <xf borderId="0" fillId="0" fontId="10" numFmtId="0" xfId="0">
      <alignment horizontal="center" vertical="center"/>
    </xf>
    <xf borderId="0" fillId="0" fontId="10" numFmtId="0" xfId="0">
      <alignment vertical="bottom"/>
    </xf>
    <xf borderId="0" fillId="6" fontId="4" numFmtId="173" xfId="0">
      <alignment horizontal="right" vertical="center"/>
    </xf>
    <xf borderId="12" fillId="6" fontId="4" numFmtId="174" xfId="0">
      <alignment horizontal="center" vertical="center" wrapText="1"/>
    </xf>
    <xf borderId="16" fillId="4" fontId="7" numFmtId="0" xfId="0">
      <alignment horizontal="center" vertical="center"/>
    </xf>
    <xf borderId="17" fillId="4" fontId="7" numFmtId="0" xfId="0">
      <alignment horizontal="left" vertical="center"/>
    </xf>
    <xf borderId="17" fillId="4" fontId="7" numFmtId="0" xfId="0">
      <alignment horizontal="center" vertical="center"/>
    </xf>
    <xf borderId="17" fillId="4" fontId="7" numFmtId="164" xfId="0">
      <alignment horizontal="left" vertical="center"/>
    </xf>
    <xf borderId="17" fillId="4" fontId="7" numFmtId="164" xfId="0">
      <alignment horizontal="center" vertical="center"/>
    </xf>
    <xf borderId="17" fillId="4" fontId="4" numFmtId="173" xfId="0">
      <alignment horizontal="right" vertical="center"/>
    </xf>
    <xf borderId="18" fillId="4" fontId="4" numFmtId="174" xfId="0">
      <alignment horizontal="center" vertical="center" wrapText="1"/>
    </xf>
    <xf borderId="11" fillId="0" fontId="12" numFmtId="0" xfId="0">
      <alignment vertical="bottom"/>
    </xf>
    <xf borderId="19" fillId="7" fontId="13" numFmtId="0" xfId="0">
      <alignment horizontal="center" vertical="bottom"/>
    </xf>
    <xf borderId="20" fillId="7" fontId="13" numFmtId="0" xfId="0">
      <alignment horizontal="center" vertical="bottom"/>
    </xf>
    <xf borderId="21" fillId="7" fontId="13" numFmtId="0" xfId="0">
      <alignment horizontal="center" vertical="bottom"/>
    </xf>
    <xf borderId="11" fillId="7" fontId="14" numFmtId="0" xfId="0">
      <alignment horizontal="center" vertical="center" wrapText="1"/>
    </xf>
    <xf borderId="11" fillId="7" fontId="14" numFmtId="0" xfId="0">
      <alignment horizontal="center" vertical="center"/>
    </xf>
    <xf borderId="11" fillId="0" fontId="15" numFmtId="0" xfId="0">
      <alignment vertical="bottom"/>
    </xf>
    <xf borderId="22" fillId="8" fontId="16" numFmtId="0" xfId="0">
      <alignment horizontal="center" vertical="center"/>
    </xf>
    <xf borderId="23" fillId="8" fontId="16" numFmtId="0" xfId="0">
      <alignment horizontal="center" vertical="center"/>
    </xf>
    <xf borderId="23" fillId="9" fontId="16" numFmtId="164" xfId="0">
      <alignment horizontal="center" vertical="center"/>
    </xf>
    <xf borderId="24" fillId="9" fontId="16" numFmtId="0" xfId="0">
      <alignment horizontal="center" vertical="center"/>
    </xf>
    <xf borderId="11" fillId="0" fontId="9" numFmtId="0" xfId="0">
      <alignment vertical="bottom"/>
    </xf>
    <xf borderId="11" fillId="0" fontId="9" numFmtId="169" xfId="0">
      <alignment horizontal="center" vertical="center"/>
    </xf>
    <xf borderId="11" fillId="0" fontId="9" numFmtId="175" xfId="0">
      <alignment vertical="bottom"/>
    </xf>
    <xf borderId="10" fillId="8" fontId="17" numFmtId="0" xfId="0">
      <alignment horizontal="left" vertical="center"/>
    </xf>
    <xf borderId="11" fillId="8" fontId="17" numFmtId="0" xfId="0">
      <alignment horizontal="left" vertical="center"/>
    </xf>
    <xf borderId="11" fillId="10" fontId="17" numFmtId="164" xfId="0">
      <alignment horizontal="left" vertical="center"/>
    </xf>
    <xf borderId="12" fillId="10" fontId="17" numFmtId="169" xfId="0">
      <alignment horizontal="center" vertical="center"/>
    </xf>
    <xf borderId="11" fillId="0" fontId="9" numFmtId="0" xfId="0">
      <alignment horizontal="left" vertical="center"/>
    </xf>
    <xf borderId="11" fillId="0" fontId="5" numFmtId="0" xfId="0">
      <alignment horizontal="center" vertical="center"/>
    </xf>
    <xf borderId="11" fillId="0" fontId="5" numFmtId="0" xfId="0">
      <alignment horizontal="left" vertical="center"/>
    </xf>
    <xf borderId="11" fillId="0" fontId="9" numFmtId="0" xfId="0">
      <alignment horizontal="center" vertical="center" wrapText="1"/>
    </xf>
    <xf borderId="10" fillId="11" fontId="17" numFmtId="0" xfId="0">
      <alignment horizontal="left" vertical="center"/>
    </xf>
    <xf borderId="11" fillId="11" fontId="17" numFmtId="0" xfId="0">
      <alignment horizontal="left" vertical="center"/>
    </xf>
    <xf borderId="12" fillId="12" fontId="17" numFmtId="169" xfId="0">
      <alignment horizontal="center" vertical="center"/>
    </xf>
    <xf borderId="25" fillId="8" fontId="17" numFmtId="0" xfId="0">
      <alignment horizontal="left" vertical="center"/>
    </xf>
    <xf borderId="26" fillId="8" fontId="17" numFmtId="0" xfId="0">
      <alignment horizontal="left" vertical="center"/>
    </xf>
    <xf borderId="18" fillId="10" fontId="17" numFmtId="169" xfId="0">
      <alignment horizontal="center" vertical="center"/>
    </xf>
    <xf borderId="7" fillId="8" fontId="17" numFmtId="0" xfId="0">
      <alignment horizontal="left" vertical="center"/>
    </xf>
    <xf borderId="8" fillId="8" fontId="17" numFmtId="0" xfId="0">
      <alignment horizontal="left" vertical="center"/>
    </xf>
    <xf borderId="9" fillId="10" fontId="17" numFmtId="169" xfId="0">
      <alignment horizontal="center" vertical="center"/>
    </xf>
    <xf borderId="27" fillId="8" fontId="17" numFmtId="0" xfId="0">
      <alignment horizontal="left" vertical="center"/>
    </xf>
    <xf borderId="28" fillId="8" fontId="17" numFmtId="0" xfId="0">
      <alignment horizontal="left" vertical="center"/>
    </xf>
    <xf borderId="29" fillId="10" fontId="17" numFmtId="169" xfId="0">
      <alignment horizontal="center" vertical="center"/>
    </xf>
    <xf borderId="11" fillId="0" fontId="5" numFmtId="0" xfId="0">
      <alignment vertical="bottom"/>
    </xf>
    <xf borderId="1" fillId="8" fontId="17" numFmtId="0" xfId="0">
      <alignment horizontal="left" vertical="center"/>
    </xf>
    <xf borderId="2" fillId="8" fontId="17" numFmtId="0" xfId="0">
      <alignment horizontal="left" vertical="center"/>
    </xf>
    <xf borderId="3" fillId="10" fontId="17" numFmtId="169" xfId="0">
      <alignment horizontal="center" vertical="center"/>
    </xf>
    <xf borderId="11" fillId="0" fontId="5" numFmtId="169" xfId="0">
      <alignment horizontal="center" vertical="center"/>
    </xf>
    <xf borderId="0" fillId="0" fontId="18" numFmtId="0" xfId="0">
      <alignment horizontal="left" vertical="bottom"/>
    </xf>
    <xf borderId="0" fillId="0" fontId="18" numFmtId="0" xfId="0">
      <alignment vertical="bottom"/>
    </xf>
    <xf borderId="0" fillId="0" fontId="18" numFmtId="164" xfId="0">
      <alignment horizontal="left" vertical="bottom"/>
    </xf>
    <xf borderId="19" fillId="7" fontId="13" numFmtId="0" xfId="0">
      <alignment horizontal="center" vertical="center"/>
    </xf>
    <xf borderId="20" fillId="7" fontId="13" numFmtId="0" xfId="0">
      <alignment horizontal="center" vertical="center"/>
    </xf>
    <xf borderId="21" fillId="7" fontId="13" numFmtId="0" xfId="0">
      <alignment horizontal="center" vertical="center"/>
    </xf>
    <xf borderId="1" fillId="11" fontId="17" numFmtId="0" xfId="0">
      <alignment horizontal="left" vertical="center"/>
    </xf>
    <xf borderId="2" fillId="11" fontId="17" numFmtId="0" xfId="0">
      <alignment horizontal="left" vertical="center"/>
    </xf>
    <xf borderId="3" fillId="12" fontId="17" numFmtId="169" xfId="0">
      <alignment horizontal="center" vertical="center"/>
    </xf>
    <xf borderId="25" fillId="11" fontId="17" numFmtId="0" xfId="0">
      <alignment horizontal="left" vertical="center"/>
    </xf>
    <xf borderId="26" fillId="11" fontId="17" numFmtId="0" xfId="0">
      <alignment horizontal="left" vertical="center"/>
    </xf>
    <xf borderId="18" fillId="12" fontId="17" numFmtId="169" xfId="0">
      <alignment horizontal="center" vertical="center"/>
    </xf>
    <xf borderId="0" fillId="0" fontId="9" numFmtId="0" xfId="0">
      <alignment horizontal="left" vertical="bottom"/>
    </xf>
    <xf borderId="0" fillId="0" fontId="9" numFmtId="164" xfId="0">
      <alignment horizontal="left" vertical="bottom"/>
    </xf>
    <xf borderId="0" fillId="0" fontId="12" numFmtId="0" xfId="0">
      <alignment horizontal="center" vertical="bottom"/>
    </xf>
    <xf borderId="0" fillId="0" fontId="12" numFmtId="164" xfId="0">
      <alignment horizontal="left" vertical="bottom"/>
    </xf>
    <xf borderId="11" fillId="10" fontId="17" numFmtId="169" xfId="0">
      <alignment horizontal="center" vertical="center"/>
    </xf>
    <xf borderId="11" fillId="0" fontId="17" numFmtId="0" xfId="0">
      <alignment horizontal="left" vertical="center"/>
    </xf>
    <xf borderId="11" fillId="0" fontId="17" numFmtId="169" xfId="0">
      <alignment horizontal="center" vertical="center"/>
    </xf>
    <xf borderId="17" fillId="7" fontId="13" numFmtId="0" xfId="0">
      <alignment horizontal="center" vertical="bottom"/>
    </xf>
    <xf borderId="0" fillId="0" fontId="19" numFmtId="0" xfId="0">
      <alignment horizontal="center" vertical="center"/>
    </xf>
    <xf borderId="0" fillId="0" fontId="20" numFmtId="0" xfId="0">
      <alignment horizontal="center" vertical="center"/>
    </xf>
    <xf borderId="0" fillId="0" fontId="20" numFmtId="164" xfId="0">
      <alignment horizontal="center" vertical="center"/>
    </xf>
    <xf borderId="2" fillId="9" fontId="17" numFmtId="164" xfId="0">
      <alignment horizontal="center" vertical="center"/>
    </xf>
    <xf borderId="3" fillId="9" fontId="17" numFmtId="169" xfId="0">
      <alignment horizontal="center" vertical="center"/>
    </xf>
    <xf borderId="0" fillId="0" fontId="17" numFmtId="0" xfId="0">
      <alignment horizontal="left" vertical="center"/>
    </xf>
    <xf borderId="0" fillId="0" fontId="17" numFmtId="164" xfId="0">
      <alignment horizontal="center" vertical="center"/>
    </xf>
    <xf borderId="0" fillId="0" fontId="17" numFmtId="0" xfId="0">
      <alignment horizontal="center" vertical="center"/>
    </xf>
    <xf borderId="11" fillId="9" fontId="17" numFmtId="164" xfId="0">
      <alignment horizontal="center" vertical="center"/>
    </xf>
    <xf borderId="12" fillId="9" fontId="17" numFmtId="169" xfId="0">
      <alignment horizontal="center" vertical="center"/>
    </xf>
    <xf borderId="26" fillId="9" fontId="17" numFmtId="164" xfId="0">
      <alignment horizontal="center" vertical="center"/>
    </xf>
    <xf borderId="18" fillId="9" fontId="17" numFmtId="169" xfId="0">
      <alignment horizontal="center" vertical="center"/>
    </xf>
    <xf borderId="30" fillId="0" fontId="17" numFmtId="0" xfId="0">
      <alignment horizontal="center" vertical="center"/>
    </xf>
    <xf borderId="20" fillId="0" fontId="17" numFmtId="0" xfId="0">
      <alignment horizontal="center" vertical="center"/>
    </xf>
    <xf borderId="3" fillId="9" fontId="17" numFmtId="0" xfId="0">
      <alignment horizontal="center" vertical="center"/>
    </xf>
    <xf borderId="0" fillId="0" fontId="19" numFmtId="0" xfId="0">
      <alignment vertical="center"/>
    </xf>
    <xf borderId="31" fillId="0" fontId="17" numFmtId="0" xfId="0">
      <alignment horizontal="center" vertical="center"/>
    </xf>
    <xf borderId="2" fillId="10" fontId="17" numFmtId="164" xfId="0">
      <alignment horizontal="center" vertical="center"/>
    </xf>
    <xf borderId="11" fillId="10" fontId="17" numFmtId="164" xfId="0">
      <alignment horizontal="center" vertical="center"/>
    </xf>
    <xf borderId="26" fillId="10" fontId="17" numFmtId="164" xfId="0">
      <alignment horizontal="center" vertical="center"/>
    </xf>
    <xf borderId="0" fillId="0" fontId="1" numFmtId="164" xfId="0">
      <alignment vertical="bottom"/>
    </xf>
    <xf borderId="0" fillId="0" fontId="9" numFmtId="0" xfId="0">
      <alignment horizontal="center" vertical="center"/>
    </xf>
    <xf borderId="28" fillId="0" fontId="12" numFmtId="0" xfId="0">
      <alignment horizontal="center" vertical="center" wrapText="1"/>
    </xf>
    <xf borderId="28" fillId="5" fontId="12" numFmtId="0" xfId="0">
      <alignment horizontal="center" vertical="center" wrapText="1"/>
    </xf>
    <xf borderId="0" fillId="0" fontId="21" numFmtId="0" xfId="0">
      <alignment horizontal="center" vertical="center" wrapText="1"/>
    </xf>
    <xf borderId="1" fillId="0" fontId="12" numFmtId="0" xfId="0">
      <alignment horizontal="center" vertical="center" wrapText="1"/>
    </xf>
    <xf borderId="3" fillId="0" fontId="12" numFmtId="0" xfId="0">
      <alignment horizontal="center" vertical="center" wrapText="1"/>
    </xf>
    <xf borderId="1" fillId="0" fontId="15" numFmtId="0" xfId="0">
      <alignment horizontal="center" vertical="center"/>
    </xf>
    <xf borderId="2" fillId="0" fontId="15" numFmtId="0" xfId="0">
      <alignment horizontal="center" vertical="center"/>
    </xf>
    <xf borderId="3" fillId="0" fontId="15" numFmtId="169" xfId="0">
      <alignment horizontal="center" vertical="center"/>
    </xf>
    <xf borderId="0" fillId="0" fontId="15" numFmtId="0" xfId="0">
      <alignment horizontal="center" vertical="center"/>
    </xf>
    <xf borderId="10" fillId="0" fontId="15" numFmtId="0" xfId="0">
      <alignment horizontal="center" vertical="center"/>
    </xf>
    <xf borderId="12" fillId="0" fontId="15" numFmtId="0" xfId="0">
      <alignment horizontal="center" vertical="center"/>
    </xf>
    <xf borderId="11" fillId="0" fontId="15" numFmtId="0" xfId="0">
      <alignment horizontal="center" vertical="center"/>
    </xf>
    <xf borderId="12" fillId="0" fontId="15" numFmtId="169" xfId="0">
      <alignment horizontal="center" vertical="center"/>
    </xf>
    <xf borderId="25" fillId="0" fontId="15" numFmtId="0" xfId="0">
      <alignment horizontal="center" vertical="center"/>
    </xf>
    <xf borderId="26" fillId="0" fontId="15" numFmtId="0" xfId="0">
      <alignment horizontal="center" vertical="center"/>
    </xf>
    <xf borderId="18" fillId="0" fontId="15" numFmtId="169" xfId="0">
      <alignment horizontal="center" vertical="center"/>
    </xf>
    <xf borderId="18" fillId="0" fontId="15" numFmtId="0" xfId="0">
      <alignment horizontal="center" vertical="center"/>
    </xf>
    <xf borderId="0" fillId="0" fontId="9" numFmtId="0" xfId="0">
      <alignment horizontal="center" vertical="center" wrapText="1"/>
    </xf>
    <xf borderId="32" fillId="13" fontId="22" numFmtId="0" xfId="0">
      <alignment horizontal="center" vertical="bottom"/>
    </xf>
    <xf borderId="33" fillId="13" fontId="22" numFmtId="0" xfId="0">
      <alignment horizontal="center" vertical="bottom"/>
    </xf>
    <xf borderId="34" fillId="13" fontId="22" numFmtId="0" xfId="0">
      <alignment horizontal="center" vertical="bottom"/>
    </xf>
    <xf borderId="10" fillId="14" fontId="22" numFmtId="0" xfId="0">
      <alignment horizontal="center" vertical="bottom"/>
    </xf>
    <xf borderId="11" fillId="14" fontId="22" numFmtId="0" xfId="0">
      <alignment horizontal="center" vertical="bottom"/>
    </xf>
    <xf borderId="12" fillId="14" fontId="22" numFmtId="0" xfId="0">
      <alignment horizontal="center" vertical="bottom"/>
    </xf>
    <xf borderId="10" fillId="0" fontId="23" numFmtId="0" xfId="0">
      <alignment horizontal="center" vertical="center"/>
    </xf>
    <xf borderId="11" fillId="0" fontId="23" numFmtId="0" xfId="0">
      <alignment horizontal="center" vertical="center"/>
    </xf>
    <xf borderId="12" fillId="5" fontId="9" numFmtId="0" xfId="0">
      <alignment horizontal="center" vertical="center"/>
    </xf>
    <xf borderId="25" fillId="15" fontId="23" numFmtId="0" xfId="0">
      <alignment horizontal="center" vertical="center"/>
    </xf>
    <xf borderId="26" fillId="15" fontId="23" numFmtId="0" xfId="0">
      <alignment horizontal="center" vertical="center"/>
    </xf>
    <xf borderId="18" fillId="15" fontId="9" numFmtId="176" xfId="0">
      <alignment horizontal="center" vertical="center"/>
    </xf>
    <xf borderId="19" fillId="13" fontId="24" numFmtId="0" xfId="0">
      <alignment horizontal="center" vertical="center"/>
    </xf>
    <xf borderId="21" fillId="13" fontId="24" numFmtId="0" xfId="0">
      <alignment horizontal="center" vertical="center"/>
    </xf>
    <xf borderId="35" fillId="0" fontId="9" numFmtId="0" xfId="0">
      <alignment horizontal="center" vertical="center"/>
    </xf>
    <xf borderId="7" fillId="0" fontId="23" numFmtId="0" xfId="0">
      <alignment horizontal="center" vertical="center"/>
    </xf>
    <xf borderId="9" fillId="0" fontId="23" numFmtId="169" xfId="0">
      <alignment horizontal="center" vertical="center"/>
    </xf>
    <xf borderId="36" fillId="5" fontId="9" numFmtId="0" xfId="0">
      <alignment horizontal="center" vertical="center" wrapText="1"/>
    </xf>
    <xf borderId="12" fillId="0" fontId="23" numFmtId="169" xfId="0">
      <alignment horizontal="center" vertical="center"/>
    </xf>
    <xf borderId="27" fillId="0" fontId="23" numFmtId="0" xfId="0">
      <alignment horizontal="center" vertical="center"/>
    </xf>
    <xf borderId="29" fillId="0" fontId="23" numFmtId="169" xfId="0">
      <alignment horizontal="center" vertical="center"/>
    </xf>
    <xf borderId="37" fillId="15" fontId="24" numFmtId="0" xfId="0">
      <alignment horizontal="center" vertical="center"/>
    </xf>
    <xf borderId="37" fillId="15" fontId="24" numFmtId="169" xfId="0">
      <alignment horizontal="center" vertical="center"/>
    </xf>
    <xf borderId="17" fillId="5" fontId="25" numFmtId="0" xfId="0">
      <alignment horizontal="center" vertical="center" wrapText="1"/>
    </xf>
    <xf borderId="19" fillId="14" fontId="26" numFmtId="0" xfId="0">
      <alignment horizontal="center" vertical="center" wrapText="1"/>
    </xf>
    <xf borderId="21" fillId="14" fontId="26" numFmtId="0" xfId="0">
      <alignment horizontal="center" vertical="center" wrapText="1"/>
    </xf>
    <xf borderId="38" fillId="0" fontId="9" numFmtId="0" xfId="0">
      <alignment horizontal="center" vertical="center"/>
    </xf>
    <xf borderId="39" fillId="0" fontId="9" numFmtId="0" xfId="0">
      <alignment horizontal="center" vertical="center"/>
    </xf>
    <xf borderId="40" fillId="0" fontId="9" numFmtId="0" xfId="0">
      <alignment horizontal="center" vertical="bottom"/>
    </xf>
    <xf borderId="40" fillId="0" fontId="9" numFmtId="0" xfId="0">
      <alignment horizontal="center" vertical="center" wrapText="1"/>
    </xf>
    <xf borderId="39" fillId="0" fontId="9" numFmtId="0" xfId="0">
      <alignment horizontal="center" vertical="bottom"/>
    </xf>
    <xf borderId="1" fillId="16" fontId="12" numFmtId="0" xfId="0">
      <alignment horizontal="center" vertical="center" wrapText="1"/>
    </xf>
    <xf borderId="3" fillId="16" fontId="12" numFmtId="164" xfId="0">
      <alignment horizontal="center" vertical="center"/>
    </xf>
    <xf borderId="15" fillId="0" fontId="9" numFmtId="0" xfId="0">
      <alignment horizontal="center" vertical="center"/>
    </xf>
    <xf borderId="41" fillId="0" fontId="9" numFmtId="0" xfId="0">
      <alignment horizontal="center" vertical="center"/>
    </xf>
    <xf borderId="0" fillId="0" fontId="9" numFmtId="0" xfId="0">
      <alignment horizontal="center" vertical="bottom"/>
    </xf>
    <xf borderId="41" fillId="0" fontId="9" numFmtId="0" xfId="0">
      <alignment horizontal="center" vertical="bottom"/>
    </xf>
    <xf borderId="27" fillId="16" fontId="12" numFmtId="0" xfId="0">
      <alignment horizontal="center" vertical="center" wrapText="1"/>
    </xf>
    <xf borderId="29" fillId="16" fontId="12" numFmtId="166" xfId="0">
      <alignment horizontal="center" vertical="center"/>
    </xf>
    <xf borderId="16" fillId="0" fontId="9" numFmtId="0" xfId="0">
      <alignment horizontal="center" vertical="center"/>
    </xf>
    <xf borderId="42" fillId="0" fontId="9" numFmtId="0" xfId="0">
      <alignment horizontal="center" vertical="center"/>
    </xf>
    <xf borderId="17" fillId="0" fontId="9" numFmtId="0" xfId="0">
      <alignment horizontal="center" vertical="center" wrapText="1"/>
    </xf>
    <xf borderId="17" fillId="0" fontId="9" numFmtId="0" xfId="0">
      <alignment horizontal="center" vertical="bottom"/>
    </xf>
    <xf borderId="42" fillId="0" fontId="9" numFmtId="0" xfId="0">
      <alignment horizontal="center" vertical="bottom"/>
    </xf>
    <xf borderId="32" fillId="14" fontId="26" numFmtId="0" xfId="0">
      <alignment horizontal="center" vertical="center" wrapText="1"/>
    </xf>
    <xf borderId="33" fillId="14" fontId="26" numFmtId="0" xfId="0">
      <alignment horizontal="center" vertical="center" wrapText="1"/>
    </xf>
    <xf borderId="34" fillId="14" fontId="26" numFmtId="0" xfId="0">
      <alignment horizontal="center" vertical="center" wrapText="1"/>
    </xf>
    <xf borderId="10" fillId="13" fontId="18" numFmtId="0" xfId="0">
      <alignment horizontal="center" vertical="center" wrapText="1"/>
    </xf>
    <xf borderId="11" fillId="13" fontId="18" numFmtId="0" xfId="0">
      <alignment horizontal="center" vertical="center" wrapText="1"/>
    </xf>
    <xf borderId="12" fillId="13" fontId="18" numFmtId="0" xfId="0">
      <alignment horizontal="center" vertical="center" wrapText="1"/>
    </xf>
    <xf borderId="10" fillId="0" fontId="9" numFmtId="0" xfId="0">
      <alignment horizontal="center" vertical="center" wrapText="1"/>
    </xf>
    <xf borderId="11" fillId="0" fontId="9" numFmtId="166" xfId="0">
      <alignment horizontal="center" vertical="center" wrapText="1"/>
    </xf>
    <xf borderId="12" fillId="0" fontId="9" numFmtId="0" xfId="0">
      <alignment horizontal="center" vertical="center" wrapText="1"/>
    </xf>
    <xf borderId="11" fillId="0" fontId="9" numFmtId="0" xfId="0">
      <alignment horizontal="center" vertical="center"/>
    </xf>
    <xf borderId="12" fillId="0" fontId="9" numFmtId="0" xfId="0">
      <alignment horizontal="center" vertical="center"/>
    </xf>
    <xf borderId="25" fillId="0" fontId="9" numFmtId="0" xfId="0">
      <alignment horizontal="center" vertical="center" wrapText="1"/>
    </xf>
    <xf borderId="26" fillId="0" fontId="9" numFmtId="0" xfId="0">
      <alignment horizontal="center" vertical="center" wrapText="1"/>
    </xf>
    <xf borderId="26" fillId="4" fontId="9" numFmtId="169" xfId="0">
      <alignment horizontal="center" vertical="center" wrapText="1"/>
    </xf>
    <xf borderId="18" fillId="0" fontId="9" numFmtId="0" xfId="0">
      <alignment horizontal="center" vertical="center" wrapText="1"/>
    </xf>
    <xf borderId="11" fillId="4" fontId="9" numFmtId="164" xfId="0">
      <alignment horizontal="center" vertical="center" wrapText="1"/>
    </xf>
    <xf borderId="11" fillId="5" fontId="9" numFmtId="164" xfId="0">
      <alignment horizontal="center" vertical="center"/>
    </xf>
    <xf borderId="32" fillId="14" fontId="27" numFmtId="0" xfId="0">
      <alignment horizontal="center" vertical="center" wrapText="1"/>
    </xf>
    <xf borderId="33" fillId="14" fontId="27" numFmtId="0" xfId="0">
      <alignment horizontal="center" vertical="center" wrapText="1"/>
    </xf>
    <xf borderId="34" fillId="14" fontId="27" numFmtId="0" xfId="0">
      <alignment horizontal="center" vertical="center" wrapText="1"/>
    </xf>
    <xf borderId="11" fillId="4" fontId="9" numFmtId="166" xfId="0">
      <alignment horizontal="center" vertical="center" wrapText="1"/>
    </xf>
    <xf borderId="27" fillId="0" fontId="9" numFmtId="0" xfId="0">
      <alignment horizontal="center" vertical="center" wrapText="1"/>
    </xf>
    <xf borderId="28" fillId="0" fontId="9" numFmtId="0" xfId="0">
      <alignment horizontal="center" vertical="center"/>
    </xf>
    <xf borderId="28" fillId="5" fontId="9" numFmtId="164" xfId="0">
      <alignment horizontal="center" vertical="center"/>
    </xf>
    <xf borderId="29" fillId="0" fontId="9" numFmtId="0" xfId="0">
      <alignment horizontal="center" vertical="center"/>
    </xf>
    <xf borderId="11" fillId="0" fontId="9" numFmtId="169" xfId="0">
      <alignment horizontal="center" vertical="center" wrapText="1"/>
    </xf>
    <xf borderId="26" fillId="15" fontId="9" numFmtId="0" xfId="0">
      <alignment horizontal="center" vertical="center" wrapText="1"/>
    </xf>
    <xf borderId="26" fillId="15" fontId="9" numFmtId="169" xfId="0">
      <alignment horizontal="center" vertical="center" wrapText="1"/>
    </xf>
    <xf borderId="18" fillId="15" fontId="9" numFmtId="0" xfId="0">
      <alignment horizontal="center" vertical="center" wrapText="1"/>
    </xf>
    <xf borderId="25" fillId="15" fontId="9" numFmtId="0" xfId="0">
      <alignment horizontal="center" vertical="center" wrapText="1"/>
    </xf>
    <xf borderId="43" fillId="14" fontId="27" numFmtId="0" xfId="0">
      <alignment horizontal="center" vertical="center" wrapText="1"/>
    </xf>
    <xf borderId="44" fillId="14" fontId="27" numFmtId="0" xfId="0">
      <alignment horizontal="center" vertical="center" wrapText="1"/>
    </xf>
    <xf borderId="38" fillId="0" fontId="9" numFmtId="0" xfId="0">
      <alignment horizontal="center" vertical="bottom"/>
    </xf>
    <xf borderId="18" fillId="5" fontId="9" numFmtId="0" xfId="0">
      <alignment horizontal="center" vertical="center" wrapText="1"/>
    </xf>
    <xf borderId="16" fillId="0" fontId="9" numFmtId="0" xfId="0">
      <alignment horizontal="center" vertical="bottom"/>
    </xf>
    <xf borderId="26" fillId="4" fontId="9" numFmtId="164" xfId="0">
      <alignment horizontal="center" vertical="center" wrapText="1"/>
    </xf>
    <xf borderId="15" fillId="0" fontId="9" numFmtId="0" xfId="0">
      <alignment horizontal="center" vertical="center" wrapText="1"/>
    </xf>
    <xf borderId="20" fillId="0" fontId="9" numFmtId="0" xfId="0">
      <alignment horizontal="center" vertical="bottom"/>
    </xf>
    <xf borderId="26" fillId="15" fontId="9" numFmtId="0" xfId="0">
      <alignment horizontal="center" vertical="center"/>
    </xf>
    <xf borderId="26" fillId="15" fontId="9" numFmtId="169" xfId="0">
      <alignment horizontal="center" vertical="center"/>
    </xf>
    <xf borderId="18" fillId="0" fontId="9" numFmtId="0" xfId="0">
      <alignment horizontal="center" vertical="center"/>
    </xf>
    <xf borderId="32" fillId="14" fontId="27" numFmtId="0" xfId="0">
      <alignment horizontal="center" vertical="center"/>
    </xf>
    <xf borderId="34" fillId="14" fontId="27" numFmtId="0" xfId="0">
      <alignment horizontal="center" vertical="center"/>
    </xf>
    <xf borderId="38" fillId="0" fontId="9" numFmtId="169" xfId="0">
      <alignment horizontal="center" vertical="center"/>
    </xf>
    <xf borderId="39" fillId="0" fontId="9" numFmtId="169" xfId="0">
      <alignment horizontal="center" vertical="center"/>
    </xf>
    <xf borderId="11" fillId="4" fontId="9" numFmtId="166" xfId="0">
      <alignment horizontal="center" vertical="center"/>
    </xf>
    <xf borderId="10" fillId="0" fontId="9" numFmtId="0" xfId="0">
      <alignment horizontal="center" vertical="center"/>
    </xf>
    <xf borderId="12" fillId="0" fontId="9" numFmtId="166" xfId="0">
      <alignment horizontal="center" vertical="center"/>
    </xf>
    <xf borderId="15" fillId="0" fontId="9" numFmtId="169" xfId="0">
      <alignment horizontal="center" vertical="center"/>
    </xf>
    <xf borderId="41" fillId="0" fontId="9" numFmtId="169" xfId="0">
      <alignment horizontal="center" vertical="center"/>
    </xf>
    <xf borderId="25" fillId="0" fontId="9" numFmtId="0" xfId="0">
      <alignment horizontal="center" vertical="center"/>
    </xf>
    <xf borderId="18" fillId="0" fontId="9" numFmtId="166" xfId="0">
      <alignment horizontal="center" vertical="center"/>
    </xf>
    <xf borderId="16" fillId="0" fontId="9" numFmtId="169" xfId="0">
      <alignment horizontal="center" vertical="center"/>
    </xf>
    <xf borderId="42" fillId="0" fontId="9" numFmtId="169" xfId="0">
      <alignment horizontal="center" vertical="center"/>
    </xf>
    <xf borderId="26" fillId="0" fontId="9" numFmtId="0" xfId="0">
      <alignment horizontal="center" vertical="center"/>
    </xf>
    <xf borderId="26" fillId="4" fontId="9" numFmtId="166" xfId="0">
      <alignment horizontal="center" vertical="center"/>
    </xf>
    <xf borderId="29" fillId="0" fontId="9" numFmtId="0" xfId="0">
      <alignment horizontal="center" vertical="center" wrapText="1"/>
    </xf>
    <xf borderId="15" fillId="0" fontId="9" numFmtId="0" xfId="0">
      <alignment horizontal="center" vertical="bottom"/>
    </xf>
    <xf borderId="38" fillId="0" fontId="9" numFmtId="0" xfId="0">
      <alignment horizontal="center" vertical="center" wrapText="1"/>
    </xf>
    <xf borderId="39" fillId="0" fontId="9" numFmtId="0" xfId="0">
      <alignment horizontal="center" vertical="center" wrapText="1"/>
    </xf>
    <xf borderId="41" fillId="0" fontId="9" numFmtId="0" xfId="0">
      <alignment horizontal="center" vertical="center" wrapText="1"/>
    </xf>
    <xf borderId="16" fillId="0" fontId="9" numFmtId="0" xfId="0">
      <alignment horizontal="center" vertical="center" wrapText="1"/>
    </xf>
    <xf borderId="42" fillId="0" fontId="9" numFmtId="0" xfId="0">
      <alignment horizontal="center" vertical="center" wrapText="1"/>
    </xf>
    <xf borderId="12" fillId="0" fontId="9" numFmtId="169" xfId="0">
      <alignment horizontal="center" vertical="center"/>
    </xf>
    <xf borderId="16" fillId="15" fontId="9" numFmtId="0" xfId="0">
      <alignment horizontal="center" vertical="center" wrapText="1"/>
    </xf>
    <xf borderId="17" fillId="15" fontId="9" numFmtId="0" xfId="0">
      <alignment horizontal="center" vertical="center"/>
    </xf>
    <xf borderId="42" fillId="15" fontId="9" numFmtId="0" xfId="0">
      <alignment horizontal="center" vertical="center"/>
    </xf>
    <xf borderId="20" fillId="0" fontId="9" numFmtId="0" xfId="0">
      <alignment horizontal="center" vertical="center" wrapText="1"/>
    </xf>
    <xf borderId="18" fillId="0" fontId="9" numFmtId="169" xfId="0">
      <alignment horizontal="center" vertical="center"/>
    </xf>
    <xf borderId="0" fillId="0" fontId="9" numFmtId="0" xfId="0">
      <alignment horizontal="left" vertical="center"/>
    </xf>
    <xf borderId="22" fillId="0" fontId="12" numFmtId="0" xfId="0">
      <alignment horizontal="center" vertical="center"/>
    </xf>
    <xf borderId="23" fillId="0" fontId="12" numFmtId="0" xfId="0">
      <alignment horizontal="center" vertical="center"/>
    </xf>
    <xf borderId="24" fillId="0" fontId="12" numFmtId="0" xfId="0">
      <alignment horizontal="center" vertical="center"/>
    </xf>
    <xf borderId="8" fillId="0" fontId="23" numFmtId="0" xfId="0">
      <alignment horizontal="center" vertical="center"/>
    </xf>
    <xf borderId="9" fillId="0" fontId="23" numFmtId="0" xfId="0">
      <alignment horizontal="center" vertical="center"/>
    </xf>
    <xf borderId="0" fillId="5" fontId="23" numFmtId="0" xfId="0">
      <alignment horizontal="center" vertical="center"/>
    </xf>
    <xf borderId="0" fillId="5" fontId="9" numFmtId="0" xfId="0">
      <alignment horizontal="center" vertical="center"/>
    </xf>
    <xf borderId="10" fillId="0" fontId="9" numFmtId="0" xfId="0">
      <alignment horizontal="left" vertical="center"/>
    </xf>
    <xf borderId="11" fillId="0" fontId="9" numFmtId="164" xfId="0">
      <alignment vertical="bottom"/>
    </xf>
    <xf borderId="12" fillId="0" fontId="9" numFmtId="0" xfId="0">
      <alignment vertical="bottom"/>
    </xf>
    <xf borderId="10" fillId="0" fontId="28" numFmtId="0" xfId="0">
      <alignment horizontal="left" vertical="center"/>
    </xf>
    <xf borderId="11" fillId="0" fontId="28" numFmtId="0" xfId="0">
      <alignment vertical="bottom"/>
    </xf>
    <xf borderId="12" fillId="0" fontId="28" numFmtId="0" xfId="0">
      <alignment vertical="bottom"/>
    </xf>
    <xf borderId="0" fillId="0" fontId="28" numFmtId="0" xfId="0">
      <alignment vertical="bottom"/>
    </xf>
    <xf borderId="25" fillId="0" fontId="9" numFmtId="0" xfId="0">
      <alignment horizontal="left" vertical="center"/>
    </xf>
    <xf borderId="26" fillId="0" fontId="9" numFmtId="0" xfId="0">
      <alignment vertical="bottom"/>
    </xf>
    <xf borderId="18" fillId="0" fontId="9" numFmtId="0" xfId="0">
      <alignment vertical="bottom"/>
    </xf>
  </cellXfs>
  <cellStyles count="1">
    <cellStyle name="Normal" xfId="0" builtinId="0" customBuiltin="1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314"/>
  <sheetViews>
    <sheetView workbookViewId="0"/>
  </sheetViews>
  <sheetFormatPr defaultRowHeight="15.0" customHeight="1"/>
  <cols>
    <col min="1" max="1" style="1" width="8.47"/>
    <col min="2" max="2" style="2" width="40.27"/>
    <col min="3" max="3" style="2" width="13.77"/>
    <col min="4" max="4" style="3" width="26.23"/>
    <col min="5" max="5" style="1" width="12.98"/>
    <col min="6" max="6" style="4" width="19.47"/>
    <col min="7" max="7" style="1" width="20.93"/>
    <col min="8" max="8" style="1" width="23.31"/>
    <col min="9" max="10" style="1" width="23.58"/>
    <col min="11" max="11" style="1" width="13.51"/>
    <col min="12" max="12" style="1" width="14.44"/>
    <col min="13" max="13" style="1" width="12.58"/>
    <col min="14" max="14" style="1" width="9.14"/>
    <col min="15" max="15" style="1" width="22.78"/>
    <col min="16" max="16" style="1" width="15.23"/>
    <col min="17" max="17" style="1" width="11.26"/>
    <col min="18" max="18" style="1" width="12.45"/>
    <col min="19" max="20" style="1" width="9.14"/>
    <col min="21" max="21" style="1" width="16.16"/>
    <col min="22" max="2048" style="1" width="9.14"/>
  </cols>
  <sheetData>
    <row r="1" customHeight="1" ht="29.0">
      <c r="A1" s="5" t="s">
        <f>"BORE "&amp;C17&amp;" X STROKE "&amp;C19&amp;" X ROD "&amp;C18&amp;" ASSY"</f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customHeight="1" ht="26.0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customHeight="1" ht="26.0" customFormat="1" s="14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ht="26.0" customFormat="1" s="14">
      <c r="A4" s="15" t="s">
        <v>3</v>
      </c>
      <c r="B4" s="16" t="s">
        <v>4</v>
      </c>
      <c r="C4" s="17" t="s">
        <v>5</v>
      </c>
      <c r="D4" s="18" t="s">
        <v>6</v>
      </c>
      <c r="E4" s="17" t="s">
        <v>7</v>
      </c>
      <c r="F4" s="17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7" t="s">
        <v>13</v>
      </c>
      <c r="L4" s="17" t="s">
        <v>14</v>
      </c>
      <c r="M4" s="19" t="s">
        <v>15</v>
      </c>
    </row>
    <row r="5" customHeight="1" ht="26.0">
      <c r="A5" s="20">
        <v>1.0</v>
      </c>
      <c r="B5" s="21" t="s">
        <v>16</v>
      </c>
      <c r="C5" s="22">
        <v>1.0</v>
      </c>
      <c r="D5" s="23" t="s">
        <v>17</v>
      </c>
      <c r="E5" s="24">
        <v>63.5</v>
      </c>
      <c r="F5" s="24">
        <v>73.025</v>
      </c>
      <c r="G5" s="25">
        <v>293.0</v>
      </c>
      <c r="H5" s="26"/>
      <c r="I5" s="21" t="s">
        <v>18</v>
      </c>
      <c r="J5" s="27">
        <f t="shared" ref="J5:J11" si="1">IF(H5="",IF(I5="Circular bar",((PI()*POWER(F5/2000,2)-PI()*POWER(E5/2000,2))*G5/1000)*VLOOKUP(D5,$G$29:$I$56,3,false),IF(I5="Flat",(E5*F5*G5/(1000*1000*1000))*VLOOKUP(D5,$G$29:$I$56,3,false))),VLOOKUP(H5,$P$30:$R$577,2,false))</f>
        <v>2.34911527049168</v>
      </c>
      <c r="K5" s="28">
        <f>IF(B5="TUBE",IF(AND(E5&gt;=20,E5&lt;=32),H31,IF(AND(E5&gt;=40,E5&lt;=200),H32,"")),"")</f>
        <v>1.45</v>
      </c>
      <c r="L5" s="29">
        <f>'Machining cost'!M3</f>
        <v>1.24223529411764</v>
      </c>
      <c r="M5" s="30">
        <f t="shared" ref="M5:M11" si="4">(L5+K5*J5)*C5</f>
        <v>4.64845243633057</v>
      </c>
      <c r="N5" s="14"/>
    </row>
    <row r="6" customHeight="1" ht="26.0">
      <c r="A6" s="20">
        <f t="shared" ref="A6:A8" si="5">A5+1</f>
        <v>2.0</v>
      </c>
      <c r="B6" s="21" t="s">
        <v>19</v>
      </c>
      <c r="C6" s="22">
        <v>1.0</v>
      </c>
      <c r="D6" s="23" t="s">
        <v>20</v>
      </c>
      <c r="E6" s="24"/>
      <c r="F6" s="24">
        <v>38.1</v>
      </c>
      <c r="G6" s="25">
        <v>386.0</v>
      </c>
      <c r="H6" s="26"/>
      <c r="I6" s="21" t="s">
        <v>18</v>
      </c>
      <c r="J6" s="27">
        <f t="shared" si="1"/>
        <v>3.45459224792999</v>
      </c>
      <c r="K6" s="28">
        <f>IF(B6="PISTON ROD",IF(AND(F6&gt;=12,F6&lt;=26),H36,IF(F6&gt;=26,H37,"")),"")</f>
        <v>1.45</v>
      </c>
      <c r="L6" s="29">
        <f>'Machining cost'!M7</f>
        <v>1.14364705882352</v>
      </c>
      <c r="M6" s="30">
        <f t="shared" si="4"/>
        <v>6.15280581832201</v>
      </c>
      <c r="N6" s="31"/>
    </row>
    <row r="7" customHeight="1" ht="26.0">
      <c r="A7" s="20">
        <f t="shared" si="5"/>
        <v>3.0</v>
      </c>
      <c r="B7" s="21" t="s">
        <v>21</v>
      </c>
      <c r="C7" s="22">
        <v>1.0</v>
      </c>
      <c r="D7" s="23" t="s">
        <v>22</v>
      </c>
      <c r="E7" s="24"/>
      <c r="F7" s="24">
        <v>65.0</v>
      </c>
      <c r="G7" s="25">
        <v>45.0</v>
      </c>
      <c r="H7" s="26"/>
      <c r="I7" s="21" t="s">
        <v>18</v>
      </c>
      <c r="J7" s="27">
        <f t="shared" si="1"/>
        <v>1.17219203265512</v>
      </c>
      <c r="K7" s="28">
        <f t="shared" ref="K7:K11" si="8">VLOOKUP(D7,$G$30:$I$57,2,false)</f>
        <v>0.95</v>
      </c>
      <c r="L7" s="29">
        <f>'Machining cost'!M10</f>
        <v>0.703176470588235</v>
      </c>
      <c r="M7" s="30">
        <f t="shared" si="4"/>
        <v>1.8167589016106</v>
      </c>
      <c r="N7" s="14"/>
    </row>
    <row r="8" customHeight="1" ht="26.0" customFormat="1" s="38">
      <c r="A8" s="20">
        <f t="shared" si="5"/>
        <v>4.0</v>
      </c>
      <c r="B8" s="21" t="s">
        <v>23</v>
      </c>
      <c r="C8" s="22">
        <v>1.0</v>
      </c>
      <c r="D8" s="23" t="s">
        <v>24</v>
      </c>
      <c r="E8" s="24"/>
      <c r="F8" s="24">
        <v>75.0</v>
      </c>
      <c r="G8" s="32">
        <v>65.0</v>
      </c>
      <c r="H8" s="24"/>
      <c r="I8" s="21" t="s">
        <v>18</v>
      </c>
      <c r="J8" s="33">
        <f t="shared" si="1"/>
        <v>2.09627678549299</v>
      </c>
      <c r="K8" s="34">
        <f t="shared" si="8"/>
        <v>1.1</v>
      </c>
      <c r="L8" s="35">
        <f>'Machining cost'!M13</f>
        <v>1.14364705882352</v>
      </c>
      <c r="M8" s="36">
        <f t="shared" si="4"/>
        <v>3.44955152286572</v>
      </c>
      <c r="N8" s="37"/>
      <c r="R8" s="39"/>
    </row>
    <row r="9" customHeight="1" ht="26.0">
      <c r="A9" s="20">
        <v>5.0</v>
      </c>
      <c r="B9" s="21" t="s">
        <v>25</v>
      </c>
      <c r="C9" s="22">
        <v>1.0</v>
      </c>
      <c r="D9" s="23" t="s">
        <v>22</v>
      </c>
      <c r="E9" s="24"/>
      <c r="F9" s="24">
        <v>75.0</v>
      </c>
      <c r="G9" s="25">
        <v>20.0</v>
      </c>
      <c r="H9" s="26"/>
      <c r="I9" s="21" t="s">
        <v>18</v>
      </c>
      <c r="J9" s="27">
        <f t="shared" si="1"/>
        <v>0.693604753050364</v>
      </c>
      <c r="K9" s="28">
        <f t="shared" si="8"/>
        <v>0.95</v>
      </c>
      <c r="L9" s="29">
        <f>'Machining cost'!M16</f>
        <v>0.605294117647059</v>
      </c>
      <c r="M9" s="30">
        <f t="shared" si="4"/>
        <v>1.2642186330449</v>
      </c>
      <c r="N9" s="14"/>
      <c r="O9" s="40"/>
      <c r="P9" s="41"/>
      <c r="Q9" s="41"/>
      <c r="R9" s="41"/>
    </row>
    <row r="10" customHeight="1" ht="28.0">
      <c r="A10" s="20">
        <v>6.0</v>
      </c>
      <c r="B10" s="21" t="s">
        <v>26</v>
      </c>
      <c r="C10" s="22">
        <v>1.0</v>
      </c>
      <c r="D10" s="23" t="s">
        <v>22</v>
      </c>
      <c r="E10" s="24"/>
      <c r="F10" s="24">
        <v>60.0</v>
      </c>
      <c r="G10" s="25">
        <v>55.0</v>
      </c>
      <c r="H10" s="26"/>
      <c r="I10" s="21" t="s">
        <v>18</v>
      </c>
      <c r="J10" s="27">
        <f t="shared" si="1"/>
        <v>1.22074436536864</v>
      </c>
      <c r="K10" s="28">
        <f t="shared" si="8"/>
        <v>0.95</v>
      </c>
      <c r="L10" s="29">
        <f>'Machining cost'!M19</f>
        <v>0.654235294117647</v>
      </c>
      <c r="M10" s="30">
        <f t="shared" si="4"/>
        <v>1.81394244121784</v>
      </c>
      <c r="N10" s="14"/>
      <c r="O10" s="42"/>
      <c r="P10" s="41"/>
      <c r="Q10" s="41"/>
      <c r="R10" s="41"/>
    </row>
    <row r="11" customHeight="1" ht="28.0">
      <c r="A11" s="20">
        <v>7.0</v>
      </c>
      <c r="B11" s="21" t="s">
        <v>27</v>
      </c>
      <c r="C11" s="22">
        <v>1.0</v>
      </c>
      <c r="D11" s="23" t="s">
        <v>22</v>
      </c>
      <c r="E11" s="24"/>
      <c r="F11" s="24">
        <v>60.0</v>
      </c>
      <c r="G11" s="25">
        <v>95.0</v>
      </c>
      <c r="H11" s="26"/>
      <c r="I11" s="21" t="s">
        <v>18</v>
      </c>
      <c r="J11" s="27">
        <f t="shared" si="1"/>
        <v>2.10855844927312</v>
      </c>
      <c r="K11" s="28">
        <f t="shared" si="8"/>
        <v>0.95</v>
      </c>
      <c r="L11" s="29">
        <f>'Machining cost'!M22</f>
        <v>0.752117647058823</v>
      </c>
      <c r="M11" s="30">
        <f t="shared" si="4"/>
        <v>2.75524817386828</v>
      </c>
      <c r="N11" s="14"/>
      <c r="O11" s="42"/>
      <c r="P11" s="41"/>
      <c r="Q11" s="41"/>
      <c r="R11" s="41"/>
    </row>
    <row r="12" customHeight="1" ht="26.0" customFormat="1" s="14">
      <c r="A12" s="43" t="s">
        <v>28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5"/>
      <c r="O12" s="42"/>
      <c r="P12" s="1"/>
      <c r="Q12" s="46"/>
      <c r="R12" s="41"/>
    </row>
    <row r="13" customHeight="1" ht="26.0" customFormat="1" s="14">
      <c r="A13" s="20">
        <v>1.0</v>
      </c>
      <c r="B13" s="24" t="s">
        <v>29</v>
      </c>
      <c r="C13" s="22">
        <v>2.0</v>
      </c>
      <c r="D13" s="47"/>
      <c r="E13" s="48"/>
      <c r="F13" s="48"/>
      <c r="G13" s="48"/>
      <c r="H13" s="49"/>
      <c r="I13" s="21" t="s">
        <f t="shared" ref="I13:I15" si="14">RIGHT(B13,LEN(B13)-FIND("-",B13))</f>
        <v>30</v>
      </c>
      <c r="J13" s="21">
        <v>0.02</v>
      </c>
      <c r="K13" s="50">
        <f t="shared" ref="K13:K15" si="15">VLOOKUP(B13,$B$31:$E$1099,4,false)</f>
        <v>0.411111111111111</v>
      </c>
      <c r="L13" s="51"/>
      <c r="M13" s="30">
        <f t="shared" ref="M13:M15" si="16">K13*C13</f>
        <v>0.822222222222222</v>
      </c>
      <c r="O13" s="42"/>
      <c r="P13" s="1"/>
      <c r="Q13" s="46"/>
      <c r="R13" s="41"/>
    </row>
    <row r="14" customHeight="1" ht="26.0">
      <c r="A14" s="20">
        <v>2.0</v>
      </c>
      <c r="B14" s="24" t="s">
        <v>31</v>
      </c>
      <c r="C14" s="22">
        <v>2.0</v>
      </c>
      <c r="D14" s="47"/>
      <c r="E14" s="48"/>
      <c r="F14" s="48"/>
      <c r="G14" s="48"/>
      <c r="H14" s="49"/>
      <c r="I14" s="21" t="s">
        <f t="shared" si="14"/>
        <v>32</v>
      </c>
      <c r="J14" s="21">
        <v>0.02</v>
      </c>
      <c r="K14" s="50">
        <f t="shared" si="15"/>
        <v>0.08</v>
      </c>
      <c r="L14" s="51"/>
      <c r="M14" s="30">
        <f t="shared" si="16"/>
        <v>0.16</v>
      </c>
      <c r="O14" s="42"/>
      <c r="Q14" s="46"/>
      <c r="R14" s="41"/>
    </row>
    <row r="15" customHeight="1" ht="26.0" customFormat="1" s="38">
      <c r="A15" s="20">
        <v>3.0</v>
      </c>
      <c r="B15" s="24" t="s">
        <v>33</v>
      </c>
      <c r="C15" s="22">
        <v>1.0</v>
      </c>
      <c r="D15" s="47"/>
      <c r="E15" s="48"/>
      <c r="F15" s="48"/>
      <c r="G15" s="48"/>
      <c r="H15" s="49"/>
      <c r="I15" s="21" t="s">
        <f t="shared" si="14"/>
        <v>34</v>
      </c>
      <c r="J15" s="21">
        <v>0.02</v>
      </c>
      <c r="K15" s="50">
        <f t="shared" si="15"/>
        <v>2.19302325581395</v>
      </c>
      <c r="L15" s="35"/>
      <c r="M15" s="36">
        <f t="shared" si="16"/>
        <v>2.19302325581395</v>
      </c>
      <c r="O15" s="52"/>
      <c r="Q15" s="53"/>
      <c r="R15" s="39"/>
    </row>
    <row r="16" customHeight="1" ht="26.0">
      <c r="A16" s="54"/>
      <c r="B16" s="55"/>
      <c r="C16" s="56"/>
      <c r="D16" s="57"/>
      <c r="E16" s="56"/>
      <c r="F16" s="58"/>
      <c r="G16" s="56"/>
      <c r="H16" s="56"/>
      <c r="I16" s="59" t="s">
        <v>35</v>
      </c>
      <c r="J16" s="27">
        <f>SUM(J5:J15)+J10</f>
        <v>14.3758282696305</v>
      </c>
      <c r="K16" s="60"/>
      <c r="L16" s="61">
        <f>SUM(L5:L15)</f>
        <v>6.24435294117644</v>
      </c>
      <c r="M16" s="62">
        <f>SUM(M5:M15)</f>
        <v>25.076223405296</v>
      </c>
      <c r="Q16" s="46"/>
      <c r="R16" s="63"/>
    </row>
    <row r="17" customHeight="1" ht="26.0">
      <c r="A17" s="54"/>
      <c r="B17" s="64" t="s">
        <v>36</v>
      </c>
      <c r="C17" s="64" t="s">
        <v>37</v>
      </c>
      <c r="D17" s="65"/>
      <c r="E17" s="56"/>
      <c r="F17" s="58"/>
      <c r="G17" s="56"/>
      <c r="H17" s="56"/>
      <c r="I17" s="66"/>
      <c r="J17" s="67" t="s">
        <v>38</v>
      </c>
      <c r="K17" s="67"/>
      <c r="L17" s="67"/>
      <c r="M17" s="68">
        <f>M16*4%</f>
        <v>1.00304893621184</v>
      </c>
      <c r="O17" s="69"/>
      <c r="P17" s="70"/>
      <c r="Q17" s="46"/>
      <c r="R17" s="63"/>
    </row>
    <row r="18" customHeight="1" ht="26.0">
      <c r="A18" s="54"/>
      <c r="B18" s="64" t="s">
        <v>39</v>
      </c>
      <c r="C18" s="64" t="s">
        <v>40</v>
      </c>
      <c r="D18" s="65"/>
      <c r="E18" s="56"/>
      <c r="F18" s="58"/>
      <c r="G18" s="56"/>
      <c r="H18" s="56"/>
      <c r="I18" s="56"/>
      <c r="J18" s="67" t="s">
        <v>41</v>
      </c>
      <c r="K18" s="67"/>
      <c r="L18" s="67"/>
      <c r="M18" s="30">
        <f>M16*1.5%</f>
        <v>0.37614335107944</v>
      </c>
      <c r="O18" s="69"/>
      <c r="P18" s="70"/>
      <c r="Q18" s="46"/>
      <c r="R18" s="63"/>
    </row>
    <row r="19" customHeight="1" ht="26.0">
      <c r="A19" s="54"/>
      <c r="B19" s="64" t="s">
        <v>42</v>
      </c>
      <c r="C19" s="64" t="s">
        <v>43</v>
      </c>
      <c r="D19" s="71"/>
      <c r="E19" s="56"/>
      <c r="F19" s="58"/>
      <c r="G19" s="56"/>
      <c r="H19" s="56"/>
      <c r="I19" s="56"/>
      <c r="J19" s="67" t="s">
        <v>44</v>
      </c>
      <c r="K19" s="67"/>
      <c r="L19" s="67"/>
      <c r="M19" s="30">
        <f>M16*1.75%</f>
        <v>0.43883390959268</v>
      </c>
      <c r="O19" s="69"/>
      <c r="P19" s="70"/>
      <c r="Q19" s="46"/>
      <c r="R19" s="63"/>
    </row>
    <row r="20" customHeight="1" ht="26.0">
      <c r="A20" s="54"/>
      <c r="B20" s="72"/>
      <c r="C20" s="58"/>
      <c r="D20" s="57"/>
      <c r="E20" s="58"/>
      <c r="F20" s="58"/>
      <c r="G20" s="56"/>
      <c r="H20" s="56"/>
      <c r="I20" s="56"/>
      <c r="J20" s="67" t="s">
        <v>45</v>
      </c>
      <c r="K20" s="67"/>
      <c r="L20" s="67"/>
      <c r="M20" s="30">
        <f>'Paint cost'!B17</f>
        <v>1.04412866971578</v>
      </c>
      <c r="O20" s="69"/>
      <c r="P20" s="70"/>
      <c r="R20" s="73"/>
    </row>
    <row r="21" customHeight="1" ht="26.0">
      <c r="A21" s="54"/>
      <c r="B21" s="72"/>
      <c r="C21" s="58"/>
      <c r="D21" s="57"/>
      <c r="E21" s="58"/>
      <c r="F21" s="58"/>
      <c r="G21" s="56"/>
      <c r="H21" s="56"/>
      <c r="I21" s="56"/>
      <c r="J21" s="67" t="s">
        <v>46</v>
      </c>
      <c r="K21" s="67"/>
      <c r="L21" s="67"/>
      <c r="M21" s="30">
        <f>M16*2%</f>
        <v>0.50152446810592</v>
      </c>
      <c r="O21" s="69"/>
      <c r="R21" s="73"/>
    </row>
    <row r="22" customHeight="1" ht="26.0">
      <c r="A22" s="54"/>
      <c r="B22" s="72"/>
      <c r="C22" s="58"/>
      <c r="D22" s="57"/>
      <c r="E22" s="58"/>
      <c r="F22" s="58"/>
      <c r="G22" s="56"/>
      <c r="H22" s="56"/>
      <c r="I22" s="56"/>
      <c r="J22" s="74">
        <v>0.0</v>
      </c>
      <c r="K22" s="74"/>
      <c r="L22" s="74"/>
      <c r="M22" s="36">
        <f>M16*3%</f>
        <v>0.75228670215888</v>
      </c>
      <c r="R22" s="73"/>
    </row>
    <row r="23" customHeight="1" ht="26.0">
      <c r="A23" s="54"/>
      <c r="B23" s="72"/>
      <c r="C23" s="58"/>
      <c r="D23" s="57"/>
      <c r="E23" s="58"/>
      <c r="F23" s="58"/>
      <c r="G23" s="56"/>
      <c r="H23" s="56"/>
      <c r="I23" s="56"/>
      <c r="J23" s="67" t="s">
        <v>47</v>
      </c>
      <c r="K23" s="67"/>
      <c r="L23" s="67"/>
      <c r="M23" s="30">
        <f>SUM(M16:M22)</f>
        <v>29.1921894421605</v>
      </c>
      <c r="P23" s="75"/>
      <c r="Q23" s="75"/>
    </row>
    <row r="24" customHeight="1" ht="26.0">
      <c r="A24" s="76"/>
      <c r="B24" s="72"/>
      <c r="C24" s="58"/>
      <c r="D24" s="57"/>
      <c r="E24" s="58"/>
      <c r="F24" s="58"/>
      <c r="G24" s="58"/>
      <c r="H24" s="58"/>
      <c r="I24" s="77"/>
      <c r="J24" s="78">
        <v>18.0</v>
      </c>
      <c r="K24" s="78"/>
      <c r="L24" s="78"/>
      <c r="M24" s="79">
        <f t="shared" ref="M24:M25" si="27">M23*(J24+100)%</f>
        <v>34.4467835417493</v>
      </c>
      <c r="P24" s="80"/>
      <c r="Q24" s="80"/>
      <c r="R24" s="81"/>
    </row>
    <row r="25" customHeight="1" ht="26.0">
      <c r="A25" s="76"/>
      <c r="B25" s="72"/>
      <c r="C25" s="58"/>
      <c r="D25" s="57"/>
      <c r="E25" s="58"/>
      <c r="F25" s="58"/>
      <c r="G25" s="58"/>
      <c r="H25" s="58"/>
      <c r="I25" s="77"/>
      <c r="J25" s="82">
        <v>30.0</v>
      </c>
      <c r="K25" s="82"/>
      <c r="L25" s="82"/>
      <c r="M25" s="83">
        <f t="shared" si="27"/>
        <v>44.780818604274</v>
      </c>
      <c r="O25" s="1">
        <f>M25/J16</f>
        <v>3.11500789828404</v>
      </c>
    </row>
    <row r="26" customHeight="1" ht="26.0">
      <c r="A26" s="84"/>
      <c r="B26" s="85"/>
      <c r="C26" s="86"/>
      <c r="D26" s="87"/>
      <c r="E26" s="86"/>
      <c r="F26" s="86"/>
      <c r="G26" s="86"/>
      <c r="H26" s="86"/>
      <c r="I26" s="88"/>
      <c r="J26" s="89"/>
      <c r="K26" s="89"/>
      <c r="L26" s="89"/>
      <c r="M26" s="90"/>
    </row>
    <row r="27">
      <c r="C27" s="1"/>
    </row>
    <row r="28" ht="19.0">
      <c r="C28" s="1"/>
      <c r="P28" s="91" t="s">
        <v>48</v>
      </c>
      <c r="Q28" s="91" t="s">
        <v>49</v>
      </c>
      <c r="R28" s="91" t="s">
        <v>50</v>
      </c>
    </row>
    <row r="29" customHeight="1" ht="26.0">
      <c r="B29" s="92" t="s">
        <v>51</v>
      </c>
      <c r="C29" s="93"/>
      <c r="D29" s="93"/>
      <c r="E29" s="94"/>
      <c r="G29" s="95" t="s">
        <v>52</v>
      </c>
      <c r="H29" s="96" t="s">
        <v>53</v>
      </c>
      <c r="I29" s="96" t="s">
        <v>54</v>
      </c>
      <c r="O29" s="97" t="s">
        <v>55</v>
      </c>
      <c r="P29" s="97" t="s">
        <v>56</v>
      </c>
      <c r="Q29" s="97"/>
      <c r="R29" s="97"/>
    </row>
    <row r="30" customHeight="1" ht="20.0">
      <c r="B30" s="98" t="s">
        <v>57</v>
      </c>
      <c r="C30" s="99" t="s">
        <v>55</v>
      </c>
      <c r="D30" s="100" t="s">
        <v>58</v>
      </c>
      <c r="E30" s="101" t="s">
        <v>59</v>
      </c>
      <c r="G30" s="102" t="s">
        <v>17</v>
      </c>
      <c r="H30" s="103">
        <v>1.45</v>
      </c>
      <c r="I30" s="104">
        <v>7850.0</v>
      </c>
      <c r="O30" s="102" t="s">
        <v>16</v>
      </c>
      <c r="P30" s="97" t="s">
        <v>60</v>
      </c>
      <c r="Q30" s="97"/>
      <c r="R30" s="97"/>
    </row>
    <row r="31" customHeight="1" ht="20.0">
      <c r="B31" s="105" t="s">
        <v>61</v>
      </c>
      <c r="C31" s="106" t="s">
        <v>62</v>
      </c>
      <c r="D31" s="107">
        <v>0.02</v>
      </c>
      <c r="E31" s="108">
        <v>0.448</v>
      </c>
      <c r="G31" s="109" t="s">
        <v>63</v>
      </c>
      <c r="H31" s="110">
        <v>2.1</v>
      </c>
      <c r="I31" s="104">
        <v>7850.0</v>
      </c>
      <c r="O31" s="102" t="s">
        <v>19</v>
      </c>
      <c r="P31" s="97" t="s">
        <v>64</v>
      </c>
      <c r="Q31" s="97"/>
      <c r="R31" s="97"/>
    </row>
    <row r="32" customHeight="1" ht="20.0">
      <c r="B32" s="105" t="s">
        <v>65</v>
      </c>
      <c r="C32" s="106" t="s">
        <v>66</v>
      </c>
      <c r="D32" s="107">
        <v>0.02</v>
      </c>
      <c r="E32" s="108">
        <v>0.766888888888889</v>
      </c>
      <c r="G32" s="111" t="s">
        <v>67</v>
      </c>
      <c r="H32" s="110">
        <v>1.45</v>
      </c>
      <c r="I32" s="104">
        <v>7850.0</v>
      </c>
      <c r="O32" s="102" t="s">
        <v>21</v>
      </c>
      <c r="P32" s="97" t="s">
        <v>68</v>
      </c>
      <c r="Q32" s="97"/>
      <c r="R32" s="97"/>
    </row>
    <row r="33" customHeight="1" ht="20.0">
      <c r="B33" s="105" t="s">
        <v>69</v>
      </c>
      <c r="C33" s="106" t="s">
        <v>70</v>
      </c>
      <c r="D33" s="107">
        <v>0.02</v>
      </c>
      <c r="E33" s="108">
        <v>0.158333333333333</v>
      </c>
      <c r="G33" s="102" t="s">
        <v>20</v>
      </c>
      <c r="H33" s="103">
        <v>1.45</v>
      </c>
      <c r="I33" s="104">
        <v>7850.0</v>
      </c>
      <c r="O33" s="102" t="s">
        <v>23</v>
      </c>
      <c r="P33" s="97" t="s">
        <v>71</v>
      </c>
      <c r="Q33" s="97"/>
      <c r="R33" s="97"/>
    </row>
    <row r="34" customHeight="1" ht="20.0">
      <c r="B34" s="105" t="s">
        <v>72</v>
      </c>
      <c r="C34" s="106" t="s">
        <v>73</v>
      </c>
      <c r="D34" s="107">
        <v>0.02</v>
      </c>
      <c r="E34" s="108">
        <v>0.205555555555556</v>
      </c>
      <c r="G34" s="102" t="s">
        <v>74</v>
      </c>
      <c r="H34" s="103">
        <v>2.5</v>
      </c>
      <c r="I34" s="104">
        <v>7850.0</v>
      </c>
      <c r="O34" s="102" t="s">
        <v>25</v>
      </c>
      <c r="P34" s="97" t="s">
        <v>75</v>
      </c>
      <c r="Q34" s="97"/>
      <c r="R34" s="97"/>
    </row>
    <row r="35" customHeight="1" ht="20.0">
      <c r="B35" s="105" t="s">
        <v>76</v>
      </c>
      <c r="C35" s="106" t="s">
        <v>77</v>
      </c>
      <c r="D35" s="107">
        <v>0.02</v>
      </c>
      <c r="E35" s="108">
        <v>0.127777777777778</v>
      </c>
      <c r="G35" s="102" t="s">
        <v>78</v>
      </c>
      <c r="H35" s="103">
        <v>2.8</v>
      </c>
      <c r="I35" s="104">
        <v>7850.0</v>
      </c>
      <c r="O35" s="102" t="s">
        <v>79</v>
      </c>
      <c r="P35" s="97" t="s">
        <v>80</v>
      </c>
      <c r="Q35" s="97"/>
      <c r="R35" s="97"/>
    </row>
    <row r="36" customHeight="1" ht="38.0">
      <c r="B36" s="105" t="s">
        <v>81</v>
      </c>
      <c r="C36" s="106" t="s">
        <v>82</v>
      </c>
      <c r="D36" s="107">
        <v>0.02</v>
      </c>
      <c r="E36" s="108">
        <v>0.206888888888889</v>
      </c>
      <c r="G36" s="112" t="s">
        <v>83</v>
      </c>
      <c r="H36" s="110">
        <v>2.3</v>
      </c>
      <c r="I36" s="104">
        <v>7850.0</v>
      </c>
      <c r="O36" s="102" t="s">
        <v>84</v>
      </c>
      <c r="P36" s="97" t="s">
        <v>85</v>
      </c>
      <c r="Q36" s="97"/>
      <c r="R36" s="97"/>
    </row>
    <row r="37" customHeight="1" ht="20.0">
      <c r="B37" s="105" t="s">
        <v>86</v>
      </c>
      <c r="C37" s="106" t="s">
        <v>87</v>
      </c>
      <c r="D37" s="107">
        <v>0.02</v>
      </c>
      <c r="E37" s="108">
        <v>0.127777777777778</v>
      </c>
      <c r="G37" s="109" t="s">
        <v>88</v>
      </c>
      <c r="H37" s="110">
        <v>1.45</v>
      </c>
      <c r="I37" s="104">
        <v>7850.0</v>
      </c>
      <c r="O37" s="102" t="s">
        <v>89</v>
      </c>
      <c r="P37" s="97" t="s">
        <v>90</v>
      </c>
      <c r="Q37" s="97"/>
      <c r="R37" s="97"/>
    </row>
    <row r="38" customHeight="1" ht="20.0">
      <c r="B38" s="105" t="s">
        <v>91</v>
      </c>
      <c r="C38" s="106" t="s">
        <v>92</v>
      </c>
      <c r="D38" s="107">
        <v>0.02</v>
      </c>
      <c r="E38" s="108">
        <v>0.326444444444444</v>
      </c>
      <c r="G38" s="102" t="s">
        <v>24</v>
      </c>
      <c r="H38" s="103">
        <v>1.1</v>
      </c>
      <c r="I38" s="104">
        <v>7300.0</v>
      </c>
      <c r="O38" s="102" t="s">
        <v>93</v>
      </c>
      <c r="P38" s="97" t="s">
        <v>94</v>
      </c>
      <c r="Q38" s="97"/>
      <c r="R38" s="97"/>
    </row>
    <row r="39" customHeight="1" ht="20.0">
      <c r="B39" s="105" t="s">
        <v>29</v>
      </c>
      <c r="C39" s="106" t="s">
        <v>95</v>
      </c>
      <c r="D39" s="107">
        <v>0.02</v>
      </c>
      <c r="E39" s="108">
        <v>0.411111111111111</v>
      </c>
      <c r="G39" s="102" t="s">
        <v>96</v>
      </c>
      <c r="H39" s="103">
        <v>1.5</v>
      </c>
      <c r="I39" s="104">
        <v>7300.0</v>
      </c>
      <c r="O39" s="102" t="s">
        <v>51</v>
      </c>
      <c r="P39" s="97" t="s">
        <v>97</v>
      </c>
      <c r="Q39" s="97"/>
      <c r="R39" s="97"/>
    </row>
    <row r="40" customHeight="1" ht="20.0">
      <c r="B40" s="105" t="s">
        <v>98</v>
      </c>
      <c r="C40" s="106" t="s">
        <v>99</v>
      </c>
      <c r="D40" s="107">
        <v>0.02</v>
      </c>
      <c r="E40" s="108">
        <v>0.189333333333333</v>
      </c>
      <c r="G40" s="102" t="s">
        <v>22</v>
      </c>
      <c r="H40" s="103">
        <v>0.95</v>
      </c>
      <c r="I40" s="104">
        <v>7850.0</v>
      </c>
      <c r="O40" s="102" t="s">
        <v>100</v>
      </c>
      <c r="P40" s="97" t="s">
        <v>101</v>
      </c>
      <c r="Q40" s="97"/>
      <c r="R40" s="97"/>
    </row>
    <row r="41" customHeight="1" ht="20.0">
      <c r="B41" s="105" t="s">
        <v>102</v>
      </c>
      <c r="C41" s="106" t="s">
        <v>103</v>
      </c>
      <c r="D41" s="107">
        <v>0.02</v>
      </c>
      <c r="E41" s="108">
        <v>0.263333333333333</v>
      </c>
      <c r="G41" s="102" t="s">
        <v>104</v>
      </c>
      <c r="H41" s="103">
        <v>1.0</v>
      </c>
      <c r="I41" s="104">
        <v>7850.0</v>
      </c>
      <c r="O41" s="102" t="s">
        <v>105</v>
      </c>
      <c r="P41" s="97" t="s">
        <v>106</v>
      </c>
      <c r="Q41" s="97"/>
      <c r="R41" s="97"/>
    </row>
    <row r="42" customHeight="1" ht="20.0">
      <c r="B42" s="105" t="s">
        <v>107</v>
      </c>
      <c r="C42" s="106" t="s">
        <v>103</v>
      </c>
      <c r="D42" s="107">
        <v>0.02</v>
      </c>
      <c r="E42" s="108">
        <v>0.232444444444444</v>
      </c>
      <c r="G42" s="102" t="s">
        <v>108</v>
      </c>
      <c r="H42" s="103">
        <v>1.1</v>
      </c>
      <c r="I42" s="104">
        <v>7850.0</v>
      </c>
      <c r="O42" s="102" t="s">
        <v>109</v>
      </c>
      <c r="P42" s="97" t="s">
        <v>110</v>
      </c>
      <c r="Q42" s="97"/>
      <c r="R42" s="97"/>
    </row>
    <row r="43" customHeight="1" ht="20.0">
      <c r="B43" s="113" t="s">
        <v>111</v>
      </c>
      <c r="C43" s="114" t="s">
        <v>112</v>
      </c>
      <c r="D43" s="107">
        <v>0.02</v>
      </c>
      <c r="E43" s="115">
        <v>0.0</v>
      </c>
      <c r="G43" s="102" t="s">
        <v>113</v>
      </c>
      <c r="H43" s="103">
        <v>1.5</v>
      </c>
      <c r="I43" s="104">
        <v>7850.0</v>
      </c>
      <c r="O43" s="102" t="s">
        <v>114</v>
      </c>
      <c r="P43" s="97" t="s">
        <v>115</v>
      </c>
      <c r="Q43" s="97"/>
      <c r="R43" s="97"/>
    </row>
    <row r="44" customHeight="1" ht="20.0">
      <c r="B44" s="116" t="s">
        <v>116</v>
      </c>
      <c r="C44" s="117" t="s">
        <v>117</v>
      </c>
      <c r="D44" s="107">
        <v>0.02</v>
      </c>
      <c r="E44" s="118">
        <v>1.07388888888889</v>
      </c>
      <c r="G44" s="102" t="s">
        <v>118</v>
      </c>
      <c r="H44" s="103">
        <v>1.1</v>
      </c>
      <c r="I44" s="104">
        <v>7850.0</v>
      </c>
      <c r="O44" s="102" t="s">
        <v>119</v>
      </c>
      <c r="P44" s="97" t="s">
        <v>120</v>
      </c>
      <c r="Q44" s="97"/>
      <c r="R44" s="97"/>
    </row>
    <row r="45" customHeight="1" ht="20.0">
      <c r="B45" s="119" t="s">
        <v>121</v>
      </c>
      <c r="C45" s="120" t="s">
        <v>122</v>
      </c>
      <c r="D45" s="107">
        <v>0.02</v>
      </c>
      <c r="E45" s="121">
        <v>0.172777777777778</v>
      </c>
      <c r="G45" s="102" t="s">
        <v>123</v>
      </c>
      <c r="H45" s="103">
        <v>1.65</v>
      </c>
      <c r="I45" s="104">
        <v>7850.0</v>
      </c>
      <c r="O45" s="102" t="s">
        <v>124</v>
      </c>
      <c r="P45" s="97" t="s">
        <v>125</v>
      </c>
      <c r="Q45" s="97"/>
      <c r="R45" s="97"/>
    </row>
    <row r="46" customHeight="1" ht="20.0">
      <c r="B46" s="105" t="s">
        <v>126</v>
      </c>
      <c r="C46" s="106" t="s">
        <v>127</v>
      </c>
      <c r="D46" s="107">
        <v>0.02</v>
      </c>
      <c r="E46" s="108">
        <v>0.288888888888889</v>
      </c>
      <c r="G46" s="102" t="s">
        <v>128</v>
      </c>
      <c r="H46" s="103">
        <v>1.15</v>
      </c>
      <c r="I46" s="104">
        <v>7850.0</v>
      </c>
      <c r="O46" s="102" t="s">
        <v>129</v>
      </c>
      <c r="P46" s="97" t="s">
        <v>130</v>
      </c>
      <c r="Q46" s="97"/>
      <c r="R46" s="97"/>
    </row>
    <row r="47" customHeight="1" ht="20.0">
      <c r="B47" s="105" t="s">
        <v>131</v>
      </c>
      <c r="C47" s="106" t="s">
        <v>132</v>
      </c>
      <c r="D47" s="107">
        <v>0.02</v>
      </c>
      <c r="E47" s="108">
        <v>0.186666666666667</v>
      </c>
      <c r="G47" s="102" t="s">
        <v>133</v>
      </c>
      <c r="H47" s="103">
        <v>4.0</v>
      </c>
      <c r="I47" s="104">
        <v>7850.0</v>
      </c>
      <c r="O47" s="102" t="s">
        <v>134</v>
      </c>
      <c r="P47" s="97" t="s">
        <v>135</v>
      </c>
      <c r="Q47" s="97"/>
      <c r="R47" s="97"/>
    </row>
    <row r="48" customHeight="1" ht="20.0">
      <c r="B48" s="105" t="s">
        <v>136</v>
      </c>
      <c r="C48" s="106" t="s">
        <v>137</v>
      </c>
      <c r="D48" s="107">
        <v>0.02</v>
      </c>
      <c r="E48" s="108">
        <v>0.133333333333333</v>
      </c>
      <c r="G48" s="102" t="s">
        <v>138</v>
      </c>
      <c r="H48" s="103">
        <v>2.6</v>
      </c>
      <c r="I48" s="104">
        <v>8000.0</v>
      </c>
      <c r="O48" s="102" t="s">
        <v>139</v>
      </c>
      <c r="P48" s="97" t="s">
        <v>140</v>
      </c>
      <c r="Q48" s="97"/>
      <c r="R48" s="97"/>
    </row>
    <row r="49" customHeight="1" ht="20.0">
      <c r="B49" s="113" t="s">
        <v>141</v>
      </c>
      <c r="C49" s="114" t="s">
        <v>142</v>
      </c>
      <c r="D49" s="107">
        <v>0.02</v>
      </c>
      <c r="E49" s="115">
        <v>0.0</v>
      </c>
      <c r="G49" s="102" t="s">
        <v>143</v>
      </c>
      <c r="H49" s="103">
        <v>1.1</v>
      </c>
      <c r="I49" s="104">
        <v>7850.0</v>
      </c>
      <c r="O49" s="102" t="s">
        <v>144</v>
      </c>
      <c r="P49" s="97" t="s">
        <v>145</v>
      </c>
      <c r="Q49" s="97"/>
      <c r="R49" s="97"/>
    </row>
    <row r="50" customHeight="1" ht="20.0">
      <c r="B50" s="122" t="s">
        <v>146</v>
      </c>
      <c r="C50" s="123" t="s">
        <v>147</v>
      </c>
      <c r="D50" s="107">
        <v>0.02</v>
      </c>
      <c r="E50" s="124">
        <v>0.211111111111111</v>
      </c>
      <c r="G50" s="125" t="s">
        <v>148</v>
      </c>
      <c r="H50" s="110">
        <v>4.72</v>
      </c>
      <c r="I50" s="104">
        <v>2720.0</v>
      </c>
      <c r="O50" s="102" t="s">
        <v>149</v>
      </c>
      <c r="P50" s="97" t="s">
        <v>150</v>
      </c>
      <c r="Q50" s="97"/>
      <c r="R50" s="97"/>
    </row>
    <row r="51" customHeight="1" ht="20.0">
      <c r="B51" s="126" t="s">
        <v>151</v>
      </c>
      <c r="C51" s="127" t="s">
        <v>152</v>
      </c>
      <c r="D51" s="107">
        <v>0.02</v>
      </c>
      <c r="E51" s="128">
        <v>0.873111111111111</v>
      </c>
      <c r="G51" s="125" t="s">
        <v>153</v>
      </c>
      <c r="H51" s="110">
        <v>8.5</v>
      </c>
      <c r="I51" s="104">
        <v>8000.0</v>
      </c>
      <c r="O51" s="102" t="s">
        <v>154</v>
      </c>
      <c r="P51" s="97" t="s">
        <v>155</v>
      </c>
      <c r="Q51" s="97"/>
      <c r="R51" s="97"/>
    </row>
    <row r="52" customHeight="1" ht="20.0">
      <c r="B52" s="105" t="s">
        <v>156</v>
      </c>
      <c r="C52" s="106" t="s">
        <v>157</v>
      </c>
      <c r="D52" s="107">
        <v>0.02</v>
      </c>
      <c r="E52" s="108">
        <v>0.849555555555556</v>
      </c>
      <c r="G52" s="125" t="s">
        <v>158</v>
      </c>
      <c r="H52" s="110">
        <v>4.9</v>
      </c>
      <c r="I52" s="104">
        <v>8000.0</v>
      </c>
      <c r="O52" s="102" t="s">
        <v>159</v>
      </c>
      <c r="P52" s="97" t="s">
        <v>160</v>
      </c>
      <c r="Q52" s="97"/>
      <c r="R52" s="97"/>
    </row>
    <row r="53" customHeight="1" ht="20.0">
      <c r="B53" s="105" t="s">
        <v>161</v>
      </c>
      <c r="C53" s="106" t="s">
        <v>162</v>
      </c>
      <c r="D53" s="107">
        <v>0.02</v>
      </c>
      <c r="E53" s="108">
        <v>0.288888888888889</v>
      </c>
      <c r="G53" s="125" t="s">
        <v>163</v>
      </c>
      <c r="H53" s="110">
        <v>1.7</v>
      </c>
      <c r="I53" s="104">
        <v>8000.0</v>
      </c>
      <c r="O53" s="102" t="s">
        <v>164</v>
      </c>
      <c r="P53" s="97" t="s">
        <v>165</v>
      </c>
      <c r="Q53" s="97"/>
      <c r="R53" s="97"/>
    </row>
    <row r="54" customHeight="1" ht="20.0">
      <c r="B54" s="105" t="s">
        <v>166</v>
      </c>
      <c r="C54" s="106" t="s">
        <v>167</v>
      </c>
      <c r="D54" s="107">
        <v>0.02</v>
      </c>
      <c r="E54" s="108">
        <v>0.14</v>
      </c>
      <c r="G54" s="125" t="s">
        <v>168</v>
      </c>
      <c r="H54" s="110">
        <v>1.45</v>
      </c>
      <c r="I54" s="104">
        <v>8000.0</v>
      </c>
      <c r="O54" s="102" t="s">
        <v>169</v>
      </c>
      <c r="P54" s="97" t="s">
        <v>170</v>
      </c>
      <c r="Q54" s="97"/>
      <c r="R54" s="97"/>
    </row>
    <row r="55" customHeight="1" ht="20.0">
      <c r="B55" s="105" t="s">
        <v>171</v>
      </c>
      <c r="C55" s="106" t="s">
        <v>172</v>
      </c>
      <c r="D55" s="107">
        <v>0.02</v>
      </c>
      <c r="E55" s="108">
        <v>0.162111111111111</v>
      </c>
      <c r="G55" s="125" t="s">
        <v>173</v>
      </c>
      <c r="H55" s="129">
        <f>180/85</f>
        <v>2.11764705882352</v>
      </c>
      <c r="I55" s="104">
        <v>7850.0</v>
      </c>
      <c r="O55" s="102" t="s">
        <v>174</v>
      </c>
      <c r="P55" s="97" t="s">
        <v>175</v>
      </c>
      <c r="Q55" s="97"/>
      <c r="R55" s="97"/>
    </row>
    <row r="56" customHeight="1" ht="20.0">
      <c r="B56" s="105" t="s">
        <v>176</v>
      </c>
      <c r="C56" s="106" t="s">
        <v>177</v>
      </c>
      <c r="D56" s="107">
        <v>0.02</v>
      </c>
      <c r="E56" s="108">
        <v>0.482111111111111</v>
      </c>
      <c r="G56" s="125" t="s">
        <v>178</v>
      </c>
      <c r="H56" s="110">
        <v>2.2</v>
      </c>
      <c r="I56" s="104">
        <v>7850.0</v>
      </c>
      <c r="O56" s="102" t="s">
        <v>179</v>
      </c>
      <c r="P56" s="97" t="s">
        <v>180</v>
      </c>
      <c r="Q56" s="97"/>
      <c r="R56" s="97"/>
    </row>
    <row r="57" customHeight="1" ht="20.0">
      <c r="B57" s="105" t="s">
        <v>181</v>
      </c>
      <c r="C57" s="106" t="s">
        <v>182</v>
      </c>
      <c r="D57" s="107">
        <v>0.02</v>
      </c>
      <c r="E57" s="108">
        <v>0.158888888888889</v>
      </c>
      <c r="G57" s="125" t="s">
        <v>183</v>
      </c>
      <c r="H57" s="110">
        <v>4.0</v>
      </c>
      <c r="I57" s="104">
        <v>8000.0</v>
      </c>
      <c r="O57" s="102" t="s">
        <v>184</v>
      </c>
      <c r="P57" s="97" t="s">
        <v>185</v>
      </c>
      <c r="Q57" s="97"/>
      <c r="R57" s="97"/>
    </row>
    <row r="58" customHeight="1" ht="20.0">
      <c r="B58" s="105" t="s">
        <v>186</v>
      </c>
      <c r="C58" s="106" t="s">
        <v>187</v>
      </c>
      <c r="D58" s="107">
        <v>0.02</v>
      </c>
      <c r="E58" s="108">
        <v>0.14</v>
      </c>
      <c r="G58" s="125" t="s">
        <v>188</v>
      </c>
      <c r="H58" s="110">
        <v>4.35</v>
      </c>
      <c r="I58" s="104">
        <v>8000.0</v>
      </c>
      <c r="O58" s="102" t="s">
        <v>189</v>
      </c>
      <c r="P58" s="97" t="s">
        <v>190</v>
      </c>
      <c r="Q58" s="97"/>
      <c r="R58" s="97"/>
    </row>
    <row r="59" customHeight="1" ht="20.0">
      <c r="B59" s="105" t="s">
        <v>191</v>
      </c>
      <c r="C59" s="106" t="s">
        <v>192</v>
      </c>
      <c r="D59" s="107">
        <v>0.02</v>
      </c>
      <c r="E59" s="108">
        <v>1.16666666666667</v>
      </c>
      <c r="G59" s="125" t="s">
        <v>193</v>
      </c>
      <c r="H59" s="110">
        <v>10.35</v>
      </c>
      <c r="I59" s="104">
        <v>8000.0</v>
      </c>
      <c r="O59" s="102" t="s">
        <v>194</v>
      </c>
      <c r="P59" s="97" t="s">
        <v>195</v>
      </c>
      <c r="Q59" s="97"/>
      <c r="R59" s="97"/>
    </row>
    <row r="60" customHeight="1" ht="20.0">
      <c r="B60" s="105" t="s">
        <v>196</v>
      </c>
      <c r="C60" s="106" t="s">
        <v>197</v>
      </c>
      <c r="D60" s="107">
        <v>0.02</v>
      </c>
      <c r="E60" s="108">
        <v>0.655555555555556</v>
      </c>
      <c r="G60" s="125" t="s">
        <v>198</v>
      </c>
      <c r="H60" s="110">
        <v>2.0</v>
      </c>
      <c r="I60" s="104">
        <v>7850.0</v>
      </c>
      <c r="O60" s="102" t="s">
        <v>199</v>
      </c>
      <c r="P60" s="97" t="s">
        <v>200</v>
      </c>
      <c r="Q60" s="97"/>
      <c r="R60" s="97"/>
    </row>
    <row r="61" customHeight="1" ht="20.0">
      <c r="B61" s="113" t="s">
        <v>201</v>
      </c>
      <c r="C61" s="114" t="s">
        <v>202</v>
      </c>
      <c r="D61" s="107">
        <v>0.02</v>
      </c>
      <c r="E61" s="115">
        <v>0.0</v>
      </c>
      <c r="G61" s="125" t="s">
        <v>203</v>
      </c>
      <c r="H61" s="110">
        <f>170/85</f>
        <v>2.0</v>
      </c>
      <c r="I61" s="104">
        <v>7850.0</v>
      </c>
      <c r="O61" s="102" t="s">
        <v>204</v>
      </c>
      <c r="P61" s="97" t="s">
        <v>205</v>
      </c>
      <c r="Q61" s="97"/>
      <c r="R61" s="97"/>
    </row>
    <row r="62" customHeight="1" ht="20.0">
      <c r="B62" s="105" t="s">
        <v>206</v>
      </c>
      <c r="C62" s="106" t="s">
        <v>207</v>
      </c>
      <c r="D62" s="107">
        <v>0.02</v>
      </c>
      <c r="E62" s="108">
        <v>0.657888888888889</v>
      </c>
      <c r="G62" s="125" t="s">
        <v>208</v>
      </c>
      <c r="H62" s="110">
        <v>1.45</v>
      </c>
      <c r="I62" s="104">
        <v>7850.0</v>
      </c>
      <c r="O62" s="102" t="s">
        <v>209</v>
      </c>
      <c r="P62" s="97" t="s">
        <v>210</v>
      </c>
      <c r="Q62" s="97"/>
      <c r="R62" s="97"/>
    </row>
    <row r="63" customHeight="1" ht="20.0">
      <c r="B63" s="105" t="s">
        <v>211</v>
      </c>
      <c r="C63" s="106" t="s">
        <v>212</v>
      </c>
      <c r="D63" s="107">
        <v>0.02</v>
      </c>
      <c r="E63" s="108">
        <v>0.164777777777778</v>
      </c>
      <c r="G63" s="125" t="s">
        <v>213</v>
      </c>
      <c r="H63" s="110">
        <v>2.75</v>
      </c>
      <c r="I63" s="104">
        <v>7850.0</v>
      </c>
      <c r="O63" s="102" t="s">
        <v>214</v>
      </c>
      <c r="P63" s="97" t="s">
        <v>215</v>
      </c>
      <c r="Q63" s="97"/>
      <c r="R63" s="97"/>
    </row>
    <row r="64" customHeight="1" ht="20.0">
      <c r="B64" s="116" t="s">
        <v>216</v>
      </c>
      <c r="C64" s="117" t="s">
        <v>217</v>
      </c>
      <c r="D64" s="107">
        <v>0.02</v>
      </c>
      <c r="E64" s="118">
        <v>0.177777777777778</v>
      </c>
      <c r="G64" s="125" t="s">
        <v>218</v>
      </c>
      <c r="H64" s="110">
        <v>1.5</v>
      </c>
      <c r="I64" s="104">
        <v>7850.0</v>
      </c>
      <c r="O64" s="102" t="s">
        <v>219</v>
      </c>
      <c r="P64" s="97" t="s">
        <v>220</v>
      </c>
      <c r="Q64" s="97"/>
      <c r="R64" s="97"/>
    </row>
    <row r="65" customHeight="1" ht="20.0">
      <c r="B65" s="119" t="s">
        <v>221</v>
      </c>
      <c r="C65" s="120" t="s">
        <v>222</v>
      </c>
      <c r="D65" s="107">
        <v>0.02</v>
      </c>
      <c r="E65" s="121">
        <v>0.288888888888889</v>
      </c>
      <c r="P65" s="97" t="s">
        <v>223</v>
      </c>
      <c r="Q65" s="97"/>
      <c r="R65" s="97"/>
    </row>
    <row r="66" customHeight="1" ht="20.0">
      <c r="B66" s="105" t="s">
        <v>224</v>
      </c>
      <c r="C66" s="106" t="s">
        <v>225</v>
      </c>
      <c r="D66" s="107">
        <v>0.02</v>
      </c>
      <c r="E66" s="108">
        <v>0.149111111111111</v>
      </c>
      <c r="P66" s="97" t="s">
        <v>226</v>
      </c>
      <c r="Q66" s="97"/>
      <c r="R66" s="97"/>
    </row>
    <row r="67" customHeight="1" ht="20.0">
      <c r="B67" s="122" t="s">
        <v>227</v>
      </c>
      <c r="C67" s="123" t="s">
        <v>228</v>
      </c>
      <c r="D67" s="107">
        <v>0.02</v>
      </c>
      <c r="E67" s="124">
        <v>0.444444444444444</v>
      </c>
      <c r="P67" s="97" t="s">
        <v>229</v>
      </c>
      <c r="Q67" s="97"/>
      <c r="R67" s="97"/>
    </row>
    <row r="68" customHeight="1" ht="20.0">
      <c r="B68" s="126" t="s">
        <v>230</v>
      </c>
      <c r="C68" s="127" t="s">
        <v>231</v>
      </c>
      <c r="D68" s="107">
        <v>0.02</v>
      </c>
      <c r="E68" s="128">
        <v>0.177777777777778</v>
      </c>
      <c r="P68" s="97" t="s">
        <v>232</v>
      </c>
      <c r="Q68" s="97"/>
      <c r="R68" s="97"/>
    </row>
    <row r="69" customHeight="1" ht="20.0">
      <c r="B69" s="113" t="s">
        <v>233</v>
      </c>
      <c r="C69" s="114" t="s">
        <v>234</v>
      </c>
      <c r="D69" s="107">
        <v>0.02</v>
      </c>
      <c r="E69" s="115">
        <v>0.0</v>
      </c>
      <c r="P69" s="97" t="s">
        <v>235</v>
      </c>
      <c r="Q69" s="97"/>
      <c r="R69" s="97"/>
    </row>
    <row r="70" customHeight="1" ht="20.0">
      <c r="B70" s="116" t="s">
        <v>236</v>
      </c>
      <c r="C70" s="117" t="s">
        <v>237</v>
      </c>
      <c r="D70" s="107">
        <v>0.02</v>
      </c>
      <c r="E70" s="118">
        <v>0.114111111111111</v>
      </c>
      <c r="P70" s="97" t="s">
        <v>238</v>
      </c>
      <c r="Q70" s="97"/>
      <c r="R70" s="97"/>
    </row>
    <row r="71" customHeight="1" ht="20.0">
      <c r="B71" s="130"/>
      <c r="C71" s="131"/>
      <c r="D71" s="132"/>
      <c r="E71" s="131"/>
      <c r="P71" s="97" t="s">
        <v>239</v>
      </c>
      <c r="Q71" s="97"/>
      <c r="R71" s="97"/>
    </row>
    <row r="72" customHeight="1" ht="30.0">
      <c r="B72" s="133" t="s">
        <v>240</v>
      </c>
      <c r="C72" s="134"/>
      <c r="D72" s="134"/>
      <c r="E72" s="135"/>
    </row>
    <row r="73" customHeight="1" ht="24.0">
      <c r="B73" s="98" t="s">
        <v>57</v>
      </c>
      <c r="C73" s="99" t="s">
        <v>55</v>
      </c>
      <c r="D73" s="100" t="s">
        <v>58</v>
      </c>
      <c r="E73" s="101" t="s">
        <v>59</v>
      </c>
    </row>
    <row r="74" customHeight="1" ht="20.0">
      <c r="B74" s="136" t="s">
        <v>241</v>
      </c>
      <c r="C74" s="137" t="s">
        <v>242</v>
      </c>
      <c r="D74" s="107">
        <v>0.025</v>
      </c>
      <c r="E74" s="138">
        <v>0.0</v>
      </c>
    </row>
    <row r="75" customHeight="1" ht="20.0">
      <c r="B75" s="113" t="s">
        <v>243</v>
      </c>
      <c r="C75" s="114" t="s">
        <v>244</v>
      </c>
      <c r="D75" s="107">
        <v>0.025</v>
      </c>
      <c r="E75" s="115">
        <v>0.0</v>
      </c>
    </row>
    <row r="76" customHeight="1" ht="20.0">
      <c r="B76" s="113" t="s">
        <v>245</v>
      </c>
      <c r="C76" s="114" t="s">
        <v>246</v>
      </c>
      <c r="D76" s="107">
        <v>0.025</v>
      </c>
      <c r="E76" s="115">
        <v>0.0</v>
      </c>
    </row>
    <row r="77" customHeight="1" ht="20.0">
      <c r="B77" s="105" t="s">
        <v>247</v>
      </c>
      <c r="C77" s="106" t="s">
        <v>248</v>
      </c>
      <c r="D77" s="107">
        <v>0.025</v>
      </c>
      <c r="E77" s="108">
        <v>0.0222222222222222</v>
      </c>
    </row>
    <row r="78" customHeight="1" ht="20.0">
      <c r="B78" s="105" t="s">
        <v>249</v>
      </c>
      <c r="C78" s="106" t="s">
        <v>250</v>
      </c>
      <c r="D78" s="107">
        <v>0.025</v>
      </c>
      <c r="E78" s="108">
        <v>0.055555555555556</v>
      </c>
    </row>
    <row r="79" customHeight="1" ht="20.0">
      <c r="B79" s="105" t="s">
        <v>251</v>
      </c>
      <c r="C79" s="106" t="s">
        <v>242</v>
      </c>
      <c r="D79" s="107">
        <v>0.025</v>
      </c>
      <c r="E79" s="108">
        <v>0.105555555555556</v>
      </c>
    </row>
    <row r="80" customHeight="1" ht="20.0">
      <c r="B80" s="113" t="s">
        <v>252</v>
      </c>
      <c r="C80" s="114" t="s">
        <v>253</v>
      </c>
      <c r="D80" s="107">
        <v>0.025</v>
      </c>
      <c r="E80" s="115">
        <v>0.0</v>
      </c>
    </row>
    <row r="81" customHeight="1" ht="20.0">
      <c r="B81" s="105" t="s">
        <v>254</v>
      </c>
      <c r="C81" s="106" t="s">
        <v>255</v>
      </c>
      <c r="D81" s="107">
        <v>0.025</v>
      </c>
      <c r="E81" s="108">
        <v>0.0666666666666667</v>
      </c>
    </row>
    <row r="82" customHeight="1" ht="20.0">
      <c r="B82" s="105" t="s">
        <v>256</v>
      </c>
      <c r="C82" s="106" t="s">
        <v>257</v>
      </c>
      <c r="D82" s="107">
        <v>0.025</v>
      </c>
      <c r="E82" s="108">
        <v>0.317</v>
      </c>
    </row>
    <row r="83" customHeight="1" ht="20.0">
      <c r="B83" s="113" t="s">
        <v>258</v>
      </c>
      <c r="C83" s="114" t="s">
        <v>259</v>
      </c>
      <c r="D83" s="107">
        <v>0.025</v>
      </c>
      <c r="E83" s="115">
        <v>0.0</v>
      </c>
    </row>
    <row r="84" customHeight="1" ht="20.0">
      <c r="B84" s="113" t="s">
        <v>260</v>
      </c>
      <c r="C84" s="114" t="s">
        <v>261</v>
      </c>
      <c r="D84" s="107">
        <v>0.025</v>
      </c>
      <c r="E84" s="115">
        <v>0.0</v>
      </c>
    </row>
    <row r="85" customHeight="1" ht="20.0">
      <c r="B85" s="105" t="s">
        <v>262</v>
      </c>
      <c r="C85" s="106" t="s">
        <v>70</v>
      </c>
      <c r="D85" s="107">
        <v>0.025</v>
      </c>
      <c r="E85" s="108">
        <v>0.09</v>
      </c>
    </row>
    <row r="86" customHeight="1" ht="20.0">
      <c r="B86" s="113" t="s">
        <v>263</v>
      </c>
      <c r="C86" s="114" t="s">
        <v>264</v>
      </c>
      <c r="D86" s="107">
        <v>0.025</v>
      </c>
      <c r="E86" s="115">
        <v>0.0</v>
      </c>
    </row>
    <row r="87" customHeight="1" ht="20.0">
      <c r="B87" s="105" t="s">
        <v>265</v>
      </c>
      <c r="C87" s="106" t="s">
        <v>73</v>
      </c>
      <c r="D87" s="107">
        <v>0.025</v>
      </c>
      <c r="E87" s="108">
        <v>0.116666666666667</v>
      </c>
    </row>
    <row r="88" customHeight="1" ht="20.0">
      <c r="B88" s="105" t="s">
        <v>266</v>
      </c>
      <c r="C88" s="106" t="s">
        <v>267</v>
      </c>
      <c r="D88" s="107">
        <v>0.025</v>
      </c>
      <c r="E88" s="108">
        <v>0.0693333333333333</v>
      </c>
    </row>
    <row r="89" customHeight="1" ht="20.0">
      <c r="B89" s="113" t="s">
        <v>268</v>
      </c>
      <c r="C89" s="114" t="s">
        <v>269</v>
      </c>
      <c r="D89" s="107">
        <v>0.025</v>
      </c>
      <c r="E89" s="115">
        <v>0.0</v>
      </c>
    </row>
    <row r="90" customHeight="1" ht="20.0">
      <c r="B90" s="105" t="s">
        <v>270</v>
      </c>
      <c r="C90" s="106" t="s">
        <v>271</v>
      </c>
      <c r="D90" s="107">
        <v>0.025</v>
      </c>
      <c r="E90" s="108">
        <v>0.077777777777778</v>
      </c>
    </row>
    <row r="91" customHeight="1" ht="20.0">
      <c r="B91" s="105" t="s">
        <v>272</v>
      </c>
      <c r="C91" s="106" t="s">
        <v>273</v>
      </c>
      <c r="D91" s="107">
        <v>0.025</v>
      </c>
      <c r="E91" s="108">
        <v>0.117333333333333</v>
      </c>
    </row>
    <row r="92" customHeight="1" ht="20.0">
      <c r="B92" s="105" t="s">
        <v>274</v>
      </c>
      <c r="C92" s="106" t="s">
        <v>275</v>
      </c>
      <c r="D92" s="107">
        <v>0.025</v>
      </c>
      <c r="E92" s="108">
        <v>0.0688888888888889</v>
      </c>
    </row>
    <row r="93" customHeight="1" ht="20.0">
      <c r="B93" s="105" t="s">
        <v>276</v>
      </c>
      <c r="C93" s="106" t="s">
        <v>277</v>
      </c>
      <c r="D93" s="107">
        <v>0.025</v>
      </c>
      <c r="E93" s="108">
        <v>0.186666666666667</v>
      </c>
    </row>
    <row r="94" customHeight="1" ht="20.0">
      <c r="B94" s="105" t="s">
        <v>31</v>
      </c>
      <c r="C94" s="106" t="s">
        <v>278</v>
      </c>
      <c r="D94" s="107">
        <v>0.025</v>
      </c>
      <c r="E94" s="108">
        <v>0.08</v>
      </c>
    </row>
    <row r="95" customHeight="1" ht="20.0">
      <c r="B95" s="105" t="s">
        <v>279</v>
      </c>
      <c r="C95" s="106" t="s">
        <v>280</v>
      </c>
      <c r="D95" s="107">
        <v>0.025</v>
      </c>
      <c r="E95" s="108">
        <v>0.555555555555556</v>
      </c>
    </row>
    <row r="96" customHeight="1" ht="20.0">
      <c r="B96" s="113" t="s">
        <v>281</v>
      </c>
      <c r="C96" s="114" t="s">
        <v>242</v>
      </c>
      <c r="D96" s="107">
        <v>0.025</v>
      </c>
      <c r="E96" s="115">
        <v>0.0</v>
      </c>
    </row>
    <row r="97" customHeight="1" ht="20.0">
      <c r="B97" s="105" t="s">
        <v>282</v>
      </c>
      <c r="C97" s="106" t="s">
        <v>283</v>
      </c>
      <c r="D97" s="107">
        <v>0.025</v>
      </c>
      <c r="E97" s="108">
        <v>0.204666666666667</v>
      </c>
    </row>
    <row r="98" customHeight="1" ht="20.0">
      <c r="B98" s="116" t="s">
        <v>284</v>
      </c>
      <c r="C98" s="117" t="s">
        <v>244</v>
      </c>
      <c r="D98" s="107">
        <v>0.025</v>
      </c>
      <c r="E98" s="118">
        <v>0.192</v>
      </c>
    </row>
    <row r="99" customHeight="1" ht="20.0">
      <c r="B99" s="126" t="s">
        <v>285</v>
      </c>
      <c r="C99" s="127" t="s">
        <v>286</v>
      </c>
      <c r="D99" s="107">
        <v>0.025</v>
      </c>
      <c r="E99" s="128">
        <v>0.5</v>
      </c>
    </row>
    <row r="100" customHeight="1" ht="20.0">
      <c r="B100" s="105" t="s">
        <v>287</v>
      </c>
      <c r="C100" s="106" t="s">
        <v>288</v>
      </c>
      <c r="D100" s="107">
        <v>0.025</v>
      </c>
      <c r="E100" s="108">
        <v>0.694444444444444</v>
      </c>
    </row>
    <row r="101" customHeight="1" ht="20.0">
      <c r="B101" s="105" t="s">
        <v>289</v>
      </c>
      <c r="C101" s="106" t="s">
        <v>290</v>
      </c>
      <c r="D101" s="107">
        <v>0.025</v>
      </c>
      <c r="E101" s="108">
        <v>0.944444444444444</v>
      </c>
    </row>
    <row r="102" customHeight="1" ht="20.0">
      <c r="B102" s="105" t="s">
        <v>291</v>
      </c>
      <c r="C102" s="106" t="s">
        <v>292</v>
      </c>
      <c r="D102" s="107">
        <v>0.025</v>
      </c>
      <c r="E102" s="108">
        <v>0.4</v>
      </c>
    </row>
    <row r="103" customHeight="1" ht="20.0">
      <c r="B103" s="105" t="s">
        <v>293</v>
      </c>
      <c r="C103" s="106" t="s">
        <v>294</v>
      </c>
      <c r="D103" s="107">
        <v>0.025</v>
      </c>
      <c r="E103" s="108">
        <v>0.166666666666667</v>
      </c>
    </row>
    <row r="104" customHeight="1" ht="20.0">
      <c r="B104" s="105" t="s">
        <v>295</v>
      </c>
      <c r="C104" s="106" t="s">
        <v>296</v>
      </c>
      <c r="D104" s="107">
        <v>0.025</v>
      </c>
      <c r="E104" s="108">
        <v>0.0844444444444444</v>
      </c>
    </row>
    <row r="105" customHeight="1" ht="20.0">
      <c r="B105" s="105" t="s">
        <v>297</v>
      </c>
      <c r="C105" s="106" t="s">
        <v>298</v>
      </c>
      <c r="D105" s="107">
        <v>0.025</v>
      </c>
      <c r="E105" s="108">
        <v>0.055555555555556</v>
      </c>
    </row>
    <row r="106" customHeight="1" ht="20.0">
      <c r="B106" s="105" t="s">
        <v>299</v>
      </c>
      <c r="C106" s="106" t="s">
        <v>212</v>
      </c>
      <c r="D106" s="107">
        <v>0.025</v>
      </c>
      <c r="E106" s="108">
        <v>0.036666666666667</v>
      </c>
    </row>
    <row r="107" customHeight="1" ht="20.0">
      <c r="B107" s="113" t="s">
        <v>300</v>
      </c>
      <c r="C107" s="114" t="s">
        <v>301</v>
      </c>
      <c r="D107" s="107">
        <v>0.025</v>
      </c>
      <c r="E107" s="115">
        <v>0.0</v>
      </c>
    </row>
    <row r="108" customHeight="1" ht="20.0">
      <c r="B108" s="105" t="s">
        <v>302</v>
      </c>
      <c r="C108" s="106" t="s">
        <v>303</v>
      </c>
      <c r="D108" s="107">
        <v>0.025</v>
      </c>
      <c r="E108" s="108">
        <v>0.105555555555556</v>
      </c>
    </row>
    <row r="109" customHeight="1" ht="20.0">
      <c r="B109" s="105" t="s">
        <v>304</v>
      </c>
      <c r="C109" s="106" t="s">
        <v>187</v>
      </c>
      <c r="D109" s="107">
        <v>0.025</v>
      </c>
      <c r="E109" s="108">
        <v>0.0588888888888889</v>
      </c>
    </row>
    <row r="110" customHeight="1" ht="20.0">
      <c r="B110" s="105" t="s">
        <v>305</v>
      </c>
      <c r="C110" s="106" t="s">
        <v>306</v>
      </c>
      <c r="D110" s="107">
        <v>0.025</v>
      </c>
      <c r="E110" s="108">
        <v>0.0611111111111111</v>
      </c>
    </row>
    <row r="111" customHeight="1" ht="20.0">
      <c r="B111" s="113" t="s">
        <v>307</v>
      </c>
      <c r="C111" s="114" t="s">
        <v>308</v>
      </c>
      <c r="D111" s="107">
        <v>0.025</v>
      </c>
      <c r="E111" s="115">
        <v>0.0</v>
      </c>
    </row>
    <row r="112" customHeight="1" ht="20.0">
      <c r="B112" s="105" t="s">
        <v>309</v>
      </c>
      <c r="C112" s="106" t="s">
        <v>310</v>
      </c>
      <c r="D112" s="107">
        <v>0.025</v>
      </c>
      <c r="E112" s="108">
        <v>0.0722222222222222</v>
      </c>
    </row>
    <row r="113" customHeight="1" ht="20.0">
      <c r="B113" s="113" t="s">
        <v>311</v>
      </c>
      <c r="C113" s="114" t="s">
        <v>312</v>
      </c>
      <c r="D113" s="107">
        <v>0.025</v>
      </c>
      <c r="E113" s="115">
        <v>0.0</v>
      </c>
    </row>
    <row r="114" customHeight="1" ht="20.0">
      <c r="B114" s="113" t="s">
        <v>313</v>
      </c>
      <c r="C114" s="114" t="s">
        <v>314</v>
      </c>
      <c r="D114" s="107">
        <v>0.025</v>
      </c>
      <c r="E114" s="115">
        <v>0.0</v>
      </c>
    </row>
    <row r="115" customHeight="1" ht="20.0">
      <c r="B115" s="105" t="s">
        <v>315</v>
      </c>
      <c r="C115" s="106" t="s">
        <v>316</v>
      </c>
      <c r="D115" s="107">
        <v>0.025</v>
      </c>
      <c r="E115" s="108">
        <v>0.112</v>
      </c>
    </row>
    <row r="116" customHeight="1" ht="20.0">
      <c r="B116" s="139" t="s">
        <v>317</v>
      </c>
      <c r="C116" s="140" t="s">
        <v>318</v>
      </c>
      <c r="D116" s="107">
        <v>0.025</v>
      </c>
      <c r="E116" s="141">
        <v>0.0</v>
      </c>
    </row>
    <row r="117" customHeight="1" ht="20.0">
      <c r="B117" s="126" t="s">
        <v>319</v>
      </c>
      <c r="C117" s="127" t="s">
        <v>320</v>
      </c>
      <c r="D117" s="107">
        <v>0.025</v>
      </c>
      <c r="E117" s="128">
        <v>0.175555555555556</v>
      </c>
    </row>
    <row r="118" customHeight="1" ht="20.0">
      <c r="B118" s="113" t="s">
        <v>321</v>
      </c>
      <c r="C118" s="114" t="s">
        <v>322</v>
      </c>
      <c r="D118" s="107">
        <v>0.025</v>
      </c>
      <c r="E118" s="115">
        <v>0.0</v>
      </c>
    </row>
    <row r="119" customHeight="1" ht="20.0">
      <c r="B119" s="105" t="s">
        <v>323</v>
      </c>
      <c r="C119" s="106" t="s">
        <v>324</v>
      </c>
      <c r="D119" s="107">
        <v>0.025</v>
      </c>
      <c r="E119" s="108">
        <v>0.111111111111111</v>
      </c>
    </row>
    <row r="120" customHeight="1" ht="20.0">
      <c r="B120" s="105" t="s">
        <v>325</v>
      </c>
      <c r="C120" s="106" t="s">
        <v>326</v>
      </c>
      <c r="D120" s="107">
        <v>0.025</v>
      </c>
      <c r="E120" s="108">
        <v>0.267222222222222</v>
      </c>
    </row>
    <row r="121" customHeight="1" ht="20.0">
      <c r="B121" s="105" t="s">
        <v>327</v>
      </c>
      <c r="C121" s="106" t="s">
        <v>328</v>
      </c>
      <c r="D121" s="107">
        <v>0.025</v>
      </c>
      <c r="E121" s="108">
        <v>0.338888888888889</v>
      </c>
    </row>
    <row r="122" customHeight="1" ht="20.0">
      <c r="B122" s="105" t="s">
        <v>329</v>
      </c>
      <c r="C122" s="106" t="s">
        <v>330</v>
      </c>
      <c r="D122" s="107">
        <v>0.025</v>
      </c>
      <c r="E122" s="108">
        <v>0.133333333333333</v>
      </c>
    </row>
    <row r="123" customHeight="1" ht="20.0">
      <c r="B123" s="139" t="s">
        <v>331</v>
      </c>
      <c r="C123" s="140" t="s">
        <v>332</v>
      </c>
      <c r="D123" s="107">
        <v>0.025</v>
      </c>
      <c r="E123" s="141">
        <v>0.0</v>
      </c>
    </row>
    <row r="124" customHeight="1" ht="20.0">
      <c r="B124" s="126" t="s">
        <v>333</v>
      </c>
      <c r="C124" s="127" t="s">
        <v>334</v>
      </c>
      <c r="D124" s="107">
        <v>0.025</v>
      </c>
      <c r="E124" s="128">
        <v>0.2</v>
      </c>
    </row>
    <row r="125" customHeight="1" ht="20.0">
      <c r="B125" s="113" t="s">
        <v>335</v>
      </c>
      <c r="C125" s="114" t="s">
        <v>336</v>
      </c>
      <c r="D125" s="107">
        <v>0.025</v>
      </c>
      <c r="E125" s="115">
        <v>0.0</v>
      </c>
    </row>
    <row r="126" customHeight="1" ht="20.0">
      <c r="B126" s="105" t="s">
        <v>337</v>
      </c>
      <c r="C126" s="106" t="s">
        <v>338</v>
      </c>
      <c r="D126" s="107">
        <v>0.025</v>
      </c>
      <c r="E126" s="108">
        <v>0.777777777777778</v>
      </c>
    </row>
    <row r="127" customHeight="1" ht="20.0">
      <c r="B127" s="105" t="s">
        <v>339</v>
      </c>
      <c r="C127" s="106" t="s">
        <v>336</v>
      </c>
      <c r="D127" s="107">
        <v>0.025</v>
      </c>
      <c r="E127" s="108">
        <v>0.291222222222222</v>
      </c>
    </row>
    <row r="128" customHeight="1" ht="20.0">
      <c r="B128" s="105" t="s">
        <v>340</v>
      </c>
      <c r="C128" s="106" t="s">
        <v>341</v>
      </c>
      <c r="D128" s="107">
        <v>0.025</v>
      </c>
      <c r="E128" s="108">
        <v>0.158888888888889</v>
      </c>
    </row>
    <row r="129" customHeight="1" ht="20.0">
      <c r="B129" s="105" t="s">
        <v>342</v>
      </c>
      <c r="C129" s="106" t="s">
        <v>343</v>
      </c>
      <c r="D129" s="107">
        <v>0.025</v>
      </c>
      <c r="E129" s="108">
        <v>0.145555555555556</v>
      </c>
    </row>
    <row r="130" customHeight="1" ht="20.0">
      <c r="B130" s="105" t="s">
        <v>344</v>
      </c>
      <c r="C130" s="106" t="s">
        <v>345</v>
      </c>
      <c r="D130" s="107">
        <v>0.025</v>
      </c>
      <c r="E130" s="108">
        <v>0.455555555555556</v>
      </c>
    </row>
    <row r="131" customHeight="1" ht="20.0">
      <c r="B131" s="105" t="s">
        <v>346</v>
      </c>
      <c r="C131" s="106" t="s">
        <v>347</v>
      </c>
      <c r="D131" s="107">
        <v>0.025</v>
      </c>
      <c r="E131" s="108">
        <v>0.178666666666667</v>
      </c>
    </row>
    <row r="132" customHeight="1" ht="20.0">
      <c r="B132" s="105" t="s">
        <v>348</v>
      </c>
      <c r="C132" s="106" t="s">
        <v>349</v>
      </c>
      <c r="D132" s="107">
        <v>0.025</v>
      </c>
      <c r="E132" s="108">
        <v>0.283333333333333</v>
      </c>
    </row>
    <row r="133" customHeight="1" ht="20.0">
      <c r="B133" s="116" t="s">
        <v>350</v>
      </c>
      <c r="C133" s="117" t="s">
        <v>338</v>
      </c>
      <c r="D133" s="107">
        <v>0.025</v>
      </c>
      <c r="E133" s="118">
        <v>1.84444444444444</v>
      </c>
    </row>
    <row r="134" customHeight="1" ht="20.0">
      <c r="B134" s="126" t="s">
        <v>351</v>
      </c>
      <c r="C134" s="127" t="s">
        <v>231</v>
      </c>
      <c r="D134" s="107">
        <v>0.025</v>
      </c>
      <c r="E134" s="128">
        <v>0.166666666666667</v>
      </c>
    </row>
    <row r="135" customHeight="1" ht="20.0">
      <c r="B135" s="105" t="s">
        <v>352</v>
      </c>
      <c r="C135" s="106" t="s">
        <v>353</v>
      </c>
      <c r="D135" s="107">
        <v>0.025</v>
      </c>
      <c r="E135" s="108">
        <v>0.0833333333333333</v>
      </c>
    </row>
    <row r="136" customHeight="1" ht="20.0">
      <c r="B136" s="105" t="s">
        <v>354</v>
      </c>
      <c r="C136" s="106" t="s">
        <v>355</v>
      </c>
      <c r="D136" s="107">
        <v>0.025</v>
      </c>
      <c r="E136" s="108">
        <v>0.4</v>
      </c>
    </row>
    <row r="137" customHeight="1" ht="20.0">
      <c r="B137" s="116" t="s">
        <v>356</v>
      </c>
      <c r="C137" s="117" t="s">
        <v>237</v>
      </c>
      <c r="D137" s="107">
        <v>0.025</v>
      </c>
      <c r="E137" s="118">
        <v>0.170222222222222</v>
      </c>
    </row>
    <row r="138" customHeight="1" ht="20.0">
      <c r="B138" s="136" t="s">
        <v>357</v>
      </c>
      <c r="C138" s="137" t="s">
        <v>358</v>
      </c>
      <c r="D138" s="107">
        <v>0.025</v>
      </c>
      <c r="E138" s="138">
        <v>0.0</v>
      </c>
    </row>
    <row r="139" customHeight="1" ht="20.0">
      <c r="B139" s="113" t="s">
        <v>359</v>
      </c>
      <c r="C139" s="114" t="s">
        <v>360</v>
      </c>
      <c r="D139" s="107">
        <v>0.025</v>
      </c>
      <c r="E139" s="115">
        <v>0.0</v>
      </c>
    </row>
    <row r="140" customHeight="1" ht="20.0">
      <c r="B140" s="105" t="s">
        <v>361</v>
      </c>
      <c r="C140" s="106" t="s">
        <v>362</v>
      </c>
      <c r="D140" s="107">
        <v>0.025</v>
      </c>
      <c r="E140" s="108">
        <v>0.133333333333333</v>
      </c>
    </row>
    <row r="141" customHeight="1" ht="20.0">
      <c r="B141" s="105" t="s">
        <v>363</v>
      </c>
      <c r="C141" s="106" t="s">
        <v>364</v>
      </c>
      <c r="D141" s="107">
        <v>0.025</v>
      </c>
      <c r="E141" s="108">
        <v>0.0222222222222222</v>
      </c>
    </row>
    <row r="142" customHeight="1" ht="20.0">
      <c r="B142" s="105" t="s">
        <v>365</v>
      </c>
      <c r="C142" s="106" t="s">
        <v>366</v>
      </c>
      <c r="D142" s="107">
        <v>0.025</v>
      </c>
      <c r="E142" s="108">
        <v>0.188888888888889</v>
      </c>
    </row>
    <row r="143" customHeight="1" ht="20.0">
      <c r="B143" s="105" t="s">
        <v>367</v>
      </c>
      <c r="C143" s="106" t="s">
        <v>368</v>
      </c>
      <c r="D143" s="107">
        <v>0.025</v>
      </c>
      <c r="E143" s="108">
        <v>0.106444444444444</v>
      </c>
    </row>
    <row r="144" customHeight="1" ht="20.0">
      <c r="B144" s="105" t="s">
        <v>369</v>
      </c>
      <c r="C144" s="106" t="s">
        <v>370</v>
      </c>
      <c r="D144" s="107">
        <v>0.025</v>
      </c>
      <c r="E144" s="108">
        <v>0.122222222222222</v>
      </c>
    </row>
    <row r="145" customHeight="1" ht="20.0">
      <c r="B145" s="105" t="s">
        <v>371</v>
      </c>
      <c r="C145" s="106" t="s">
        <v>372</v>
      </c>
      <c r="D145" s="107">
        <v>0.025</v>
      </c>
      <c r="E145" s="108">
        <v>0.096</v>
      </c>
    </row>
    <row r="146" customHeight="1" ht="20.0">
      <c r="B146" s="105" t="s">
        <v>373</v>
      </c>
      <c r="C146" s="106" t="s">
        <v>374</v>
      </c>
      <c r="D146" s="107">
        <v>0.025</v>
      </c>
      <c r="E146" s="108">
        <v>0.165333333333333</v>
      </c>
    </row>
    <row r="147" customHeight="1" ht="20.0">
      <c r="B147" s="105" t="s">
        <v>375</v>
      </c>
      <c r="C147" s="106" t="s">
        <v>376</v>
      </c>
      <c r="D147" s="107">
        <v>0.025</v>
      </c>
      <c r="E147" s="108">
        <v>0.187777777777778</v>
      </c>
    </row>
    <row r="148" customHeight="1" ht="20.0">
      <c r="B148" s="105" t="s">
        <v>377</v>
      </c>
      <c r="C148" s="106" t="s">
        <v>378</v>
      </c>
      <c r="D148" s="107">
        <v>0.025</v>
      </c>
      <c r="E148" s="108">
        <v>0.187777777777778</v>
      </c>
    </row>
    <row r="149" customHeight="1" ht="20.0">
      <c r="B149" s="113" t="s">
        <v>379</v>
      </c>
      <c r="C149" s="114" t="s">
        <v>380</v>
      </c>
      <c r="D149" s="107">
        <v>0.025</v>
      </c>
      <c r="E149" s="115">
        <v>0.0</v>
      </c>
    </row>
    <row r="150" customHeight="1" ht="20.0">
      <c r="B150" s="113" t="s">
        <v>381</v>
      </c>
      <c r="C150" s="114" t="s">
        <v>374</v>
      </c>
      <c r="D150" s="107">
        <v>0.025</v>
      </c>
      <c r="E150" s="115">
        <v>0.0</v>
      </c>
    </row>
    <row r="151" customHeight="1" ht="20.0">
      <c r="B151" s="105" t="s">
        <v>382</v>
      </c>
      <c r="C151" s="106" t="s">
        <v>376</v>
      </c>
      <c r="D151" s="107">
        <v>0.025</v>
      </c>
      <c r="E151" s="108">
        <v>0.187777777777778</v>
      </c>
    </row>
    <row r="152" customHeight="1" ht="20.0">
      <c r="B152" s="105" t="s">
        <v>383</v>
      </c>
      <c r="C152" s="106" t="s">
        <v>384</v>
      </c>
      <c r="D152" s="107">
        <v>0.025</v>
      </c>
      <c r="E152" s="108">
        <v>0.140555555555556</v>
      </c>
    </row>
    <row r="153" customHeight="1" ht="20.0">
      <c r="B153" s="116" t="s">
        <v>385</v>
      </c>
      <c r="C153" s="117" t="s">
        <v>386</v>
      </c>
      <c r="D153" s="107">
        <v>0.025</v>
      </c>
      <c r="E153" s="118">
        <v>0.283888888888889</v>
      </c>
    </row>
    <row r="154" customHeight="1" ht="20.0">
      <c r="B154" s="142"/>
      <c r="C154" s="42"/>
      <c r="D154" s="143"/>
      <c r="E154" s="42"/>
    </row>
    <row r="155" customHeight="1" ht="20.0">
      <c r="B155" s="142"/>
      <c r="C155" s="144"/>
      <c r="D155" s="145"/>
      <c r="E155" s="144"/>
    </row>
    <row r="156" customHeight="1" ht="25.0">
      <c r="B156" s="133" t="s">
        <v>387</v>
      </c>
      <c r="C156" s="134"/>
      <c r="D156" s="134"/>
      <c r="E156" s="135"/>
    </row>
    <row r="157" customHeight="1" ht="23.0">
      <c r="B157" s="98" t="s">
        <v>57</v>
      </c>
      <c r="C157" s="99" t="s">
        <v>55</v>
      </c>
      <c r="D157" s="100" t="s">
        <v>58</v>
      </c>
      <c r="E157" s="101" t="s">
        <v>59</v>
      </c>
    </row>
    <row r="158" customHeight="1" ht="20.0">
      <c r="B158" s="106" t="s">
        <v>388</v>
      </c>
      <c r="C158" s="106" t="s">
        <v>389</v>
      </c>
      <c r="D158" s="107">
        <v>0.035</v>
      </c>
      <c r="E158" s="146">
        <v>6.11111111111111</v>
      </c>
    </row>
    <row r="159" customHeight="1" ht="20.0">
      <c r="B159" s="106" t="s">
        <v>390</v>
      </c>
      <c r="C159" s="106" t="s">
        <v>391</v>
      </c>
      <c r="D159" s="107">
        <v>0.035</v>
      </c>
      <c r="E159" s="146">
        <v>0.122222222222222</v>
      </c>
    </row>
    <row r="160" customHeight="1" ht="20.0">
      <c r="B160" s="106" t="s">
        <v>392</v>
      </c>
      <c r="C160" s="106" t="s">
        <v>393</v>
      </c>
      <c r="D160" s="107">
        <v>0.035</v>
      </c>
      <c r="E160" s="146">
        <v>0.388888888888889</v>
      </c>
    </row>
    <row r="161" customHeight="1" ht="20.0">
      <c r="B161" s="106" t="s">
        <v>394</v>
      </c>
      <c r="C161" s="106" t="s">
        <v>395</v>
      </c>
      <c r="D161" s="107">
        <v>0.035</v>
      </c>
      <c r="E161" s="146">
        <v>0.307777777777778</v>
      </c>
    </row>
    <row r="162" customHeight="1" ht="20.0">
      <c r="B162" s="106" t="s">
        <v>396</v>
      </c>
      <c r="C162" s="106" t="s">
        <v>397</v>
      </c>
      <c r="D162" s="107">
        <v>0.035</v>
      </c>
      <c r="E162" s="146">
        <v>0.533333333333333</v>
      </c>
    </row>
    <row r="163" customHeight="1" ht="20.0">
      <c r="B163" s="106" t="s">
        <v>398</v>
      </c>
      <c r="C163" s="106" t="s">
        <v>399</v>
      </c>
      <c r="D163" s="107">
        <v>0.035</v>
      </c>
      <c r="E163" s="146">
        <v>0.0486666666666667</v>
      </c>
    </row>
    <row r="164" customHeight="1" ht="20.0">
      <c r="B164" s="106" t="s">
        <v>400</v>
      </c>
      <c r="C164" s="106" t="s">
        <v>401</v>
      </c>
      <c r="D164" s="107">
        <v>0.035</v>
      </c>
      <c r="E164" s="146">
        <v>0.144444444444444</v>
      </c>
    </row>
    <row r="165" customHeight="1" ht="20.0">
      <c r="B165" s="106" t="s">
        <v>402</v>
      </c>
      <c r="C165" s="106" t="s">
        <v>403</v>
      </c>
      <c r="D165" s="107">
        <v>0.035</v>
      </c>
      <c r="E165" s="146">
        <v>0.333333333333333</v>
      </c>
    </row>
    <row r="166" customHeight="1" ht="20.0">
      <c r="B166" s="106" t="s">
        <v>404</v>
      </c>
      <c r="C166" s="106" t="s">
        <v>405</v>
      </c>
      <c r="D166" s="107">
        <v>0.035</v>
      </c>
      <c r="E166" s="146">
        <v>2.51111111111111</v>
      </c>
    </row>
    <row r="167" customHeight="1" ht="20.0">
      <c r="B167" s="147" t="s">
        <v>406</v>
      </c>
      <c r="C167" s="147" t="s">
        <v>407</v>
      </c>
      <c r="D167" s="107">
        <v>0.035</v>
      </c>
      <c r="E167" s="148">
        <v>0.0</v>
      </c>
    </row>
    <row r="168" customHeight="1" ht="20.0">
      <c r="B168" s="106" t="s">
        <v>408</v>
      </c>
      <c r="C168" s="106" t="s">
        <v>409</v>
      </c>
      <c r="D168" s="107">
        <v>0.035</v>
      </c>
      <c r="E168" s="146">
        <v>0.766666666666667</v>
      </c>
    </row>
    <row r="169" customHeight="1" ht="20.0">
      <c r="B169" s="106" t="s">
        <v>410</v>
      </c>
      <c r="C169" s="106" t="s">
        <v>411</v>
      </c>
      <c r="D169" s="107">
        <v>0.035</v>
      </c>
      <c r="E169" s="146">
        <v>0.811111111111111</v>
      </c>
    </row>
    <row r="170" customHeight="1" ht="20.0">
      <c r="B170" s="147" t="s">
        <v>412</v>
      </c>
      <c r="C170" s="147" t="s">
        <v>413</v>
      </c>
      <c r="D170" s="107">
        <v>0.035</v>
      </c>
      <c r="E170" s="148">
        <v>0.0</v>
      </c>
    </row>
    <row r="171" customHeight="1" ht="20.0">
      <c r="B171" s="147" t="s">
        <v>414</v>
      </c>
      <c r="C171" s="147" t="s">
        <v>415</v>
      </c>
      <c r="D171" s="107">
        <v>0.035</v>
      </c>
      <c r="E171" s="148">
        <v>0.0</v>
      </c>
    </row>
    <row r="172" customHeight="1" ht="20.0">
      <c r="B172" s="106" t="s">
        <v>416</v>
      </c>
      <c r="C172" s="106" t="s">
        <v>417</v>
      </c>
      <c r="D172" s="107">
        <v>0.035</v>
      </c>
      <c r="E172" s="146">
        <v>0.611111111111111</v>
      </c>
    </row>
    <row r="173" customHeight="1" ht="20.0">
      <c r="B173" s="106" t="s">
        <v>418</v>
      </c>
      <c r="C173" s="106" t="s">
        <v>419</v>
      </c>
      <c r="D173" s="107">
        <v>0.035</v>
      </c>
      <c r="E173" s="146">
        <v>0.803333333333333</v>
      </c>
    </row>
    <row r="174" customHeight="1" ht="20.0">
      <c r="B174" s="106" t="s">
        <v>420</v>
      </c>
      <c r="C174" s="106" t="s">
        <v>421</v>
      </c>
      <c r="D174" s="107">
        <v>0.035</v>
      </c>
      <c r="E174" s="146">
        <v>3.33333333333333</v>
      </c>
    </row>
    <row r="175" customHeight="1" ht="20.0">
      <c r="B175" s="106" t="s">
        <v>422</v>
      </c>
      <c r="C175" s="106" t="s">
        <v>423</v>
      </c>
      <c r="D175" s="107">
        <v>0.035</v>
      </c>
      <c r="E175" s="146">
        <v>0.0905555555555556</v>
      </c>
    </row>
    <row r="176" customHeight="1" ht="20.0">
      <c r="B176" s="106" t="s">
        <v>424</v>
      </c>
      <c r="C176" s="106" t="s">
        <v>425</v>
      </c>
      <c r="D176" s="107">
        <v>0.035</v>
      </c>
      <c r="E176" s="146">
        <v>0.241111111111111</v>
      </c>
    </row>
    <row r="177" customHeight="1" ht="20.0">
      <c r="B177" s="147" t="s">
        <v>426</v>
      </c>
      <c r="C177" s="147" t="s">
        <v>427</v>
      </c>
      <c r="D177" s="107">
        <v>0.035</v>
      </c>
      <c r="E177" s="148">
        <v>0.0</v>
      </c>
    </row>
    <row r="178" customHeight="1" ht="20.0">
      <c r="B178" s="106" t="s">
        <v>428</v>
      </c>
      <c r="C178" s="106" t="s">
        <v>429</v>
      </c>
      <c r="D178" s="107">
        <v>0.035</v>
      </c>
      <c r="E178" s="146">
        <v>0.177777777777778</v>
      </c>
    </row>
    <row r="179" customHeight="1" ht="20.0">
      <c r="B179" s="147" t="s">
        <v>430</v>
      </c>
      <c r="C179" s="147" t="s">
        <v>431</v>
      </c>
      <c r="D179" s="107">
        <v>0.035</v>
      </c>
      <c r="E179" s="148">
        <v>0.0</v>
      </c>
    </row>
    <row r="180" customHeight="1" ht="20.0">
      <c r="B180" s="106" t="s">
        <v>432</v>
      </c>
      <c r="C180" s="106" t="s">
        <v>433</v>
      </c>
      <c r="D180" s="107">
        <v>0.035</v>
      </c>
      <c r="E180" s="146">
        <v>0.0486666666666667</v>
      </c>
    </row>
    <row r="181" customHeight="1" ht="20.0">
      <c r="B181" s="106" t="s">
        <v>434</v>
      </c>
      <c r="C181" s="106" t="s">
        <v>435</v>
      </c>
      <c r="D181" s="107">
        <v>0.035</v>
      </c>
      <c r="E181" s="146">
        <v>0.122222222222222</v>
      </c>
    </row>
    <row r="182" customHeight="1" ht="20.0">
      <c r="B182" s="147" t="s">
        <v>436</v>
      </c>
      <c r="C182" s="147" t="s">
        <v>437</v>
      </c>
      <c r="D182" s="107">
        <v>0.035</v>
      </c>
      <c r="E182" s="148">
        <v>0.0</v>
      </c>
    </row>
    <row r="183" customHeight="1" ht="20.0">
      <c r="B183" s="106" t="s">
        <v>438</v>
      </c>
      <c r="C183" s="106" t="s">
        <v>439</v>
      </c>
      <c r="D183" s="107">
        <v>0.035</v>
      </c>
      <c r="E183" s="146">
        <v>0.133333333333333</v>
      </c>
    </row>
    <row r="184" customHeight="1" ht="20.0">
      <c r="B184" s="106" t="s">
        <v>440</v>
      </c>
      <c r="C184" s="106" t="s">
        <v>441</v>
      </c>
      <c r="D184" s="107">
        <v>0.035</v>
      </c>
      <c r="E184" s="146">
        <v>0.144444444444444</v>
      </c>
    </row>
    <row r="185" customHeight="1" ht="20.0">
      <c r="B185" s="106" t="s">
        <v>442</v>
      </c>
      <c r="C185" s="106" t="s">
        <v>443</v>
      </c>
      <c r="D185" s="107">
        <v>0.035</v>
      </c>
      <c r="E185" s="146">
        <v>0.144444444444444</v>
      </c>
    </row>
    <row r="186" customHeight="1" ht="20.0">
      <c r="B186" s="106" t="s">
        <v>444</v>
      </c>
      <c r="C186" s="106" t="s">
        <v>445</v>
      </c>
      <c r="D186" s="107">
        <v>0.035</v>
      </c>
      <c r="E186" s="146">
        <v>0.216666666666667</v>
      </c>
    </row>
    <row r="187" customHeight="1" ht="20.0">
      <c r="B187" s="147" t="s">
        <v>446</v>
      </c>
      <c r="C187" s="147" t="s">
        <v>447</v>
      </c>
      <c r="D187" s="107">
        <v>0.035</v>
      </c>
      <c r="E187" s="148">
        <v>0.0</v>
      </c>
    </row>
    <row r="188" customHeight="1" ht="20.0">
      <c r="B188" s="147" t="s">
        <v>448</v>
      </c>
      <c r="C188" s="147" t="s">
        <v>449</v>
      </c>
      <c r="D188" s="107">
        <v>0.035</v>
      </c>
      <c r="E188" s="148">
        <v>0.0</v>
      </c>
    </row>
    <row r="189" customHeight="1" ht="20.0">
      <c r="B189" s="106" t="s">
        <v>450</v>
      </c>
      <c r="C189" s="106" t="s">
        <v>451</v>
      </c>
      <c r="D189" s="107">
        <v>0.035</v>
      </c>
      <c r="E189" s="146">
        <v>0.388888888888889</v>
      </c>
    </row>
    <row r="190" customHeight="1" ht="20.0">
      <c r="B190" s="147" t="s">
        <v>452</v>
      </c>
      <c r="C190" s="147" t="s">
        <v>453</v>
      </c>
      <c r="D190" s="107">
        <v>0.035</v>
      </c>
      <c r="E190" s="148">
        <v>0.0</v>
      </c>
    </row>
    <row r="191" customHeight="1" ht="20.0">
      <c r="B191" s="147" t="s">
        <v>454</v>
      </c>
      <c r="C191" s="147" t="s">
        <v>455</v>
      </c>
      <c r="D191" s="107">
        <v>0.035</v>
      </c>
      <c r="E191" s="148">
        <v>0.0</v>
      </c>
    </row>
    <row r="192" customHeight="1" ht="20.0">
      <c r="B192" s="106" t="s">
        <v>456</v>
      </c>
      <c r="C192" s="106" t="s">
        <v>457</v>
      </c>
      <c r="D192" s="107">
        <v>0.035</v>
      </c>
      <c r="E192" s="146">
        <v>0.533333333333333</v>
      </c>
    </row>
    <row r="193" customHeight="1" ht="20.0">
      <c r="B193" s="106" t="s">
        <v>458</v>
      </c>
      <c r="C193" s="106" t="s">
        <v>459</v>
      </c>
      <c r="D193" s="107">
        <v>0.035</v>
      </c>
      <c r="E193" s="146">
        <v>0.711111111111111</v>
      </c>
    </row>
    <row r="194" customHeight="1" ht="20.0">
      <c r="B194" s="147" t="s">
        <v>460</v>
      </c>
      <c r="C194" s="147" t="s">
        <v>461</v>
      </c>
      <c r="D194" s="107">
        <v>0.035</v>
      </c>
      <c r="E194" s="148">
        <v>0.0</v>
      </c>
    </row>
    <row r="195" customHeight="1" ht="20.0">
      <c r="B195" s="106" t="s">
        <v>462</v>
      </c>
      <c r="C195" s="106" t="s">
        <v>463</v>
      </c>
      <c r="D195" s="107">
        <v>0.035</v>
      </c>
      <c r="E195" s="146">
        <v>1.16666666666667</v>
      </c>
    </row>
    <row r="196" customHeight="1" ht="20.0">
      <c r="B196" s="106" t="s">
        <v>464</v>
      </c>
      <c r="C196" s="106" t="s">
        <v>465</v>
      </c>
      <c r="D196" s="107">
        <v>0.035</v>
      </c>
      <c r="E196" s="146">
        <v>1.33333333333333</v>
      </c>
    </row>
    <row r="197" customHeight="1" ht="20.0">
      <c r="B197" s="106" t="s">
        <v>466</v>
      </c>
      <c r="C197" s="106" t="s">
        <v>467</v>
      </c>
      <c r="D197" s="107">
        <v>0.035</v>
      </c>
      <c r="E197" s="146">
        <v>2.66666666666667</v>
      </c>
    </row>
    <row r="198" customHeight="1" ht="20.0">
      <c r="B198" s="106" t="s">
        <v>468</v>
      </c>
      <c r="C198" s="106" t="s">
        <v>469</v>
      </c>
      <c r="D198" s="107">
        <v>0.035</v>
      </c>
      <c r="E198" s="146">
        <v>0.0144444444444444</v>
      </c>
    </row>
    <row r="199" customHeight="1" ht="20.0">
      <c r="B199" s="106" t="s">
        <v>470</v>
      </c>
      <c r="C199" s="106" t="s">
        <v>471</v>
      </c>
      <c r="D199" s="107">
        <v>0.035</v>
      </c>
      <c r="E199" s="146">
        <v>0.0344444444444444</v>
      </c>
    </row>
    <row r="200" customHeight="1" ht="20.0">
      <c r="B200" s="106" t="s">
        <v>472</v>
      </c>
      <c r="C200" s="106" t="s">
        <v>473</v>
      </c>
      <c r="D200" s="107">
        <v>0.035</v>
      </c>
      <c r="E200" s="146">
        <v>0.0236666666666667</v>
      </c>
    </row>
    <row r="201" customHeight="1" ht="20.0">
      <c r="D201" s="2"/>
    </row>
    <row r="202" customHeight="1" ht="20.0">
      <c r="B202" s="142"/>
      <c r="C202" s="142"/>
      <c r="D202" s="143"/>
      <c r="E202" s="42"/>
    </row>
    <row r="203" customHeight="1" ht="24.0">
      <c r="B203" s="149" t="s">
        <v>474</v>
      </c>
      <c r="C203" s="149"/>
      <c r="D203" s="149"/>
      <c r="E203" s="149"/>
      <c r="G203" s="150"/>
      <c r="H203" s="150"/>
      <c r="I203" s="150"/>
      <c r="J203" s="150"/>
    </row>
    <row r="204" customHeight="1" ht="20.0">
      <c r="B204" s="98" t="s">
        <v>57</v>
      </c>
      <c r="C204" s="99" t="s">
        <v>55</v>
      </c>
      <c r="D204" s="100" t="s">
        <v>58</v>
      </c>
      <c r="E204" s="101" t="s">
        <v>59</v>
      </c>
      <c r="H204" s="151"/>
      <c r="I204" s="152"/>
      <c r="J204" s="151"/>
    </row>
    <row r="205" customHeight="1" ht="20.0">
      <c r="B205" s="126" t="s">
        <v>475</v>
      </c>
      <c r="C205" s="127" t="s">
        <v>476</v>
      </c>
      <c r="D205" s="153"/>
      <c r="E205" s="154">
        <v>0.88</v>
      </c>
      <c r="H205" s="155"/>
      <c r="I205" s="156"/>
      <c r="J205" s="157"/>
    </row>
    <row r="206" customHeight="1" ht="20.0">
      <c r="B206" s="105" t="s">
        <v>477</v>
      </c>
      <c r="C206" s="106" t="s">
        <v>478</v>
      </c>
      <c r="D206" s="158"/>
      <c r="E206" s="159">
        <v>0.99</v>
      </c>
      <c r="H206" s="155"/>
      <c r="I206" s="156"/>
      <c r="J206" s="157"/>
    </row>
    <row r="207" customHeight="1" ht="20.0">
      <c r="B207" s="105" t="s">
        <v>479</v>
      </c>
      <c r="C207" s="106" t="s">
        <v>480</v>
      </c>
      <c r="D207" s="158"/>
      <c r="E207" s="159">
        <v>0.99</v>
      </c>
      <c r="H207" s="155"/>
      <c r="I207" s="156"/>
      <c r="J207" s="157"/>
    </row>
    <row r="208" customHeight="1" ht="20.0">
      <c r="B208" s="105" t="s">
        <v>481</v>
      </c>
      <c r="C208" s="106" t="s">
        <v>482</v>
      </c>
      <c r="D208" s="158"/>
      <c r="E208" s="159">
        <v>1.14</v>
      </c>
      <c r="H208" s="155"/>
      <c r="I208" s="156"/>
      <c r="J208" s="157"/>
    </row>
    <row r="209" customHeight="1" ht="20.0">
      <c r="B209" s="105" t="s">
        <v>483</v>
      </c>
      <c r="C209" s="106" t="s">
        <v>484</v>
      </c>
      <c r="D209" s="158"/>
      <c r="E209" s="159">
        <v>2.18</v>
      </c>
      <c r="H209" s="155"/>
      <c r="I209" s="156"/>
      <c r="J209" s="157"/>
    </row>
    <row r="210" customHeight="1" ht="20.0">
      <c r="B210" s="105" t="s">
        <v>485</v>
      </c>
      <c r="C210" s="106" t="s">
        <v>486</v>
      </c>
      <c r="D210" s="158"/>
      <c r="E210" s="159">
        <v>1.29</v>
      </c>
      <c r="H210" s="155"/>
      <c r="I210" s="156"/>
      <c r="J210" s="157"/>
    </row>
    <row r="211" customHeight="1" ht="20.0">
      <c r="B211" s="105" t="s">
        <v>487</v>
      </c>
      <c r="C211" s="106" t="s">
        <v>488</v>
      </c>
      <c r="D211" s="158"/>
      <c r="E211" s="159">
        <v>1.6</v>
      </c>
      <c r="H211" s="155"/>
      <c r="I211" s="156"/>
      <c r="J211" s="157"/>
    </row>
    <row r="212" customHeight="1" ht="20.0">
      <c r="B212" s="105" t="s">
        <v>489</v>
      </c>
      <c r="C212" s="106" t="s">
        <v>490</v>
      </c>
      <c r="D212" s="158">
        <v>0.035</v>
      </c>
      <c r="E212" s="159">
        <v>1.42</v>
      </c>
      <c r="H212" s="155"/>
      <c r="I212" s="156"/>
      <c r="J212" s="157"/>
    </row>
    <row r="213" customHeight="1" ht="20.0">
      <c r="B213" s="105" t="s">
        <v>491</v>
      </c>
      <c r="C213" s="106" t="s">
        <v>492</v>
      </c>
      <c r="D213" s="158"/>
      <c r="E213" s="159">
        <v>1.6</v>
      </c>
      <c r="H213" s="155"/>
      <c r="I213" s="156"/>
      <c r="J213" s="157"/>
    </row>
    <row r="214" customHeight="1" ht="20.0">
      <c r="B214" s="105" t="s">
        <v>493</v>
      </c>
      <c r="C214" s="106" t="s">
        <v>494</v>
      </c>
      <c r="D214" s="158"/>
      <c r="E214" s="159">
        <v>1.96</v>
      </c>
      <c r="H214" s="155"/>
      <c r="I214" s="156"/>
      <c r="J214" s="157"/>
    </row>
    <row r="215" customHeight="1" ht="20.0">
      <c r="B215" s="116" t="s">
        <v>495</v>
      </c>
      <c r="C215" s="117" t="s">
        <v>496</v>
      </c>
      <c r="D215" s="160"/>
      <c r="E215" s="161">
        <v>1.59</v>
      </c>
      <c r="H215" s="155"/>
      <c r="I215" s="156"/>
      <c r="J215" s="157"/>
    </row>
    <row r="216" customHeight="1" ht="20.0">
      <c r="B216" s="162"/>
      <c r="C216" s="163"/>
      <c r="D216" s="163"/>
      <c r="E216" s="163"/>
      <c r="H216" s="155"/>
      <c r="I216" s="156"/>
      <c r="J216" s="157"/>
    </row>
    <row r="217" customHeight="1" ht="20.0">
      <c r="B217" s="126" t="s">
        <v>497</v>
      </c>
      <c r="C217" s="127" t="s">
        <v>498</v>
      </c>
      <c r="D217" s="153"/>
      <c r="E217" s="164">
        <v>0.95</v>
      </c>
      <c r="H217" s="155"/>
      <c r="I217" s="156"/>
      <c r="J217" s="157"/>
    </row>
    <row r="218" customHeight="1" ht="20.0">
      <c r="B218" s="105" t="s">
        <v>499</v>
      </c>
      <c r="C218" s="106" t="s">
        <v>500</v>
      </c>
      <c r="D218" s="158"/>
      <c r="E218" s="159">
        <v>1.18581395348837</v>
      </c>
      <c r="H218" s="155"/>
      <c r="I218" s="156"/>
      <c r="J218" s="157"/>
    </row>
    <row r="219" customHeight="1" ht="20.0">
      <c r="B219" s="105" t="s">
        <v>501</v>
      </c>
      <c r="C219" s="106" t="s">
        <v>502</v>
      </c>
      <c r="D219" s="158"/>
      <c r="E219" s="159">
        <v>0.805348837209302</v>
      </c>
      <c r="H219" s="155"/>
      <c r="I219" s="156"/>
      <c r="J219" s="157"/>
    </row>
    <row r="220" customHeight="1" ht="20.0">
      <c r="B220" s="105" t="s">
        <v>503</v>
      </c>
      <c r="C220" s="106" t="s">
        <v>504</v>
      </c>
      <c r="D220" s="158"/>
      <c r="E220" s="159">
        <v>1.9156976744186</v>
      </c>
      <c r="H220" s="155"/>
      <c r="I220" s="156"/>
      <c r="J220" s="157"/>
    </row>
    <row r="221" customHeight="1" ht="24.0">
      <c r="B221" s="105" t="s">
        <v>505</v>
      </c>
      <c r="C221" s="106" t="s">
        <v>506</v>
      </c>
      <c r="D221" s="158"/>
      <c r="E221" s="159">
        <v>0.950581395348837</v>
      </c>
    </row>
    <row r="222" customHeight="1" ht="20.0">
      <c r="B222" s="105" t="s">
        <v>507</v>
      </c>
      <c r="C222" s="106" t="s">
        <v>508</v>
      </c>
      <c r="D222" s="158"/>
      <c r="E222" s="159">
        <v>1.18056976744186</v>
      </c>
      <c r="H222" s="165"/>
      <c r="I222" s="165"/>
      <c r="J222" s="165"/>
    </row>
    <row r="223" customHeight="1" ht="20.0">
      <c r="B223" s="105" t="s">
        <v>509</v>
      </c>
      <c r="C223" s="106" t="s">
        <v>510</v>
      </c>
      <c r="D223" s="158"/>
      <c r="E223" s="159">
        <v>0.819755813953488</v>
      </c>
      <c r="H223" s="151"/>
      <c r="I223" s="152"/>
      <c r="J223" s="151"/>
    </row>
    <row r="224" customHeight="1" ht="20.0">
      <c r="B224" s="105" t="s">
        <v>511</v>
      </c>
      <c r="C224" s="106" t="s">
        <v>512</v>
      </c>
      <c r="D224" s="158"/>
      <c r="E224" s="159">
        <v>1.56</v>
      </c>
      <c r="H224" s="155"/>
      <c r="I224" s="156"/>
      <c r="J224" s="157"/>
    </row>
    <row r="225" customHeight="1" ht="20.0">
      <c r="B225" s="105" t="s">
        <v>513</v>
      </c>
      <c r="C225" s="106" t="s">
        <v>514</v>
      </c>
      <c r="D225" s="158"/>
      <c r="E225" s="159">
        <v>1.6310465116279</v>
      </c>
      <c r="H225" s="155"/>
      <c r="I225" s="156"/>
      <c r="J225" s="157"/>
    </row>
    <row r="226" customHeight="1" ht="20.0">
      <c r="B226" s="105" t="s">
        <v>515</v>
      </c>
      <c r="C226" s="106" t="s">
        <v>478</v>
      </c>
      <c r="D226" s="158"/>
      <c r="E226" s="159">
        <v>1.01453488372093</v>
      </c>
      <c r="H226" s="155"/>
      <c r="I226" s="156"/>
      <c r="J226" s="157"/>
    </row>
    <row r="227" customHeight="1" ht="20.0">
      <c r="B227" s="105" t="s">
        <v>516</v>
      </c>
      <c r="C227" s="106" t="s">
        <v>517</v>
      </c>
      <c r="D227" s="158"/>
      <c r="E227" s="159">
        <v>2.36918604651162</v>
      </c>
      <c r="H227" s="155"/>
      <c r="I227" s="156"/>
      <c r="J227" s="157"/>
    </row>
    <row r="228" customHeight="1" ht="20.0">
      <c r="B228" s="105" t="s">
        <v>518</v>
      </c>
      <c r="C228" s="106" t="s">
        <v>519</v>
      </c>
      <c r="D228" s="158"/>
      <c r="E228" s="159">
        <v>1.32151162790698</v>
      </c>
      <c r="H228" s="155"/>
      <c r="I228" s="156"/>
      <c r="J228" s="157"/>
    </row>
    <row r="229" customHeight="1" ht="20.0">
      <c r="B229" s="105" t="s">
        <v>520</v>
      </c>
      <c r="C229" s="106" t="s">
        <v>521</v>
      </c>
      <c r="D229" s="158"/>
      <c r="E229" s="159">
        <v>0.991860465116279</v>
      </c>
      <c r="H229" s="155"/>
      <c r="I229" s="156"/>
      <c r="J229" s="157"/>
    </row>
    <row r="230" customHeight="1" ht="20.0">
      <c r="B230" s="105" t="s">
        <v>522</v>
      </c>
      <c r="C230" s="106" t="s">
        <v>523</v>
      </c>
      <c r="D230" s="158"/>
      <c r="E230" s="159">
        <v>2.6743023255814</v>
      </c>
      <c r="H230" s="155"/>
      <c r="I230" s="156"/>
      <c r="J230" s="157"/>
    </row>
    <row r="231" customHeight="1" ht="20.0">
      <c r="B231" s="105" t="s">
        <v>524</v>
      </c>
      <c r="C231" s="106" t="s">
        <v>525</v>
      </c>
      <c r="D231" s="158"/>
      <c r="E231" s="159">
        <v>1.17779069767441</v>
      </c>
      <c r="H231" s="155"/>
      <c r="I231" s="156"/>
      <c r="J231" s="157"/>
    </row>
    <row r="232" customHeight="1" ht="20.0">
      <c r="B232" s="105" t="s">
        <v>526</v>
      </c>
      <c r="C232" s="106" t="s">
        <v>482</v>
      </c>
      <c r="D232" s="158"/>
      <c r="E232" s="159">
        <v>1.19418604651162</v>
      </c>
      <c r="H232" s="155"/>
      <c r="I232" s="156"/>
      <c r="J232" s="157"/>
    </row>
    <row r="233" customHeight="1" ht="20.0">
      <c r="B233" s="105" t="s">
        <v>527</v>
      </c>
      <c r="C233" s="106" t="s">
        <v>484</v>
      </c>
      <c r="D233" s="158"/>
      <c r="E233" s="159">
        <v>1.17558139534883</v>
      </c>
      <c r="H233" s="155"/>
      <c r="I233" s="156"/>
      <c r="J233" s="157"/>
    </row>
    <row r="234" customHeight="1" ht="20.0">
      <c r="B234" s="105" t="s">
        <v>528</v>
      </c>
      <c r="C234" s="106" t="s">
        <v>529</v>
      </c>
      <c r="D234" s="158"/>
      <c r="E234" s="159">
        <v>1.41779069767441</v>
      </c>
      <c r="H234" s="155"/>
      <c r="I234" s="156"/>
      <c r="J234" s="157"/>
    </row>
    <row r="235" customHeight="1" ht="20.0">
      <c r="B235" s="105" t="s">
        <v>530</v>
      </c>
      <c r="C235" s="106" t="s">
        <v>531</v>
      </c>
      <c r="D235" s="158"/>
      <c r="E235" s="159">
        <v>1.5610465116279</v>
      </c>
    </row>
    <row r="236" customHeight="1" ht="20.0">
      <c r="B236" s="105" t="s">
        <v>532</v>
      </c>
      <c r="C236" s="106" t="s">
        <v>533</v>
      </c>
      <c r="D236" s="158"/>
      <c r="E236" s="159">
        <v>1.38581395348837</v>
      </c>
      <c r="H236" s="165"/>
      <c r="I236" s="165"/>
      <c r="J236" s="165"/>
    </row>
    <row r="237" customHeight="1" ht="20.0">
      <c r="B237" s="105" t="s">
        <v>534</v>
      </c>
      <c r="C237" s="106" t="s">
        <v>488</v>
      </c>
      <c r="D237" s="158"/>
      <c r="E237" s="159">
        <v>2.29453488372093</v>
      </c>
      <c r="H237" s="151"/>
      <c r="I237" s="152"/>
      <c r="J237" s="151"/>
    </row>
    <row r="238" customHeight="1" ht="20.0">
      <c r="B238" s="105" t="s">
        <v>535</v>
      </c>
      <c r="C238" s="106" t="s">
        <v>536</v>
      </c>
      <c r="D238" s="158"/>
      <c r="E238" s="159">
        <v>1.69686046511628</v>
      </c>
      <c r="H238" s="155"/>
      <c r="I238" s="156"/>
      <c r="J238" s="157"/>
    </row>
    <row r="239" customHeight="1" ht="20.0">
      <c r="B239" s="105" t="s">
        <v>537</v>
      </c>
      <c r="C239" s="106" t="s">
        <v>538</v>
      </c>
      <c r="D239" s="158"/>
      <c r="E239" s="159">
        <v>3.02476744186047</v>
      </c>
      <c r="H239" s="155"/>
      <c r="I239" s="156"/>
      <c r="J239" s="157"/>
    </row>
    <row r="240" customHeight="1" ht="20.0">
      <c r="B240" s="105" t="s">
        <v>539</v>
      </c>
      <c r="C240" s="106" t="s">
        <v>492</v>
      </c>
      <c r="D240" s="158"/>
      <c r="E240" s="159">
        <v>1.51662790697674</v>
      </c>
      <c r="H240" s="155"/>
      <c r="I240" s="156"/>
      <c r="J240" s="157"/>
    </row>
    <row r="241" customHeight="1" ht="20.0">
      <c r="B241" s="105" t="s">
        <v>540</v>
      </c>
      <c r="C241" s="106" t="s">
        <v>494</v>
      </c>
      <c r="D241" s="158"/>
      <c r="E241" s="159">
        <v>1.7506976744186</v>
      </c>
      <c r="H241" s="155"/>
      <c r="I241" s="156"/>
      <c r="J241" s="157"/>
    </row>
    <row r="242" customHeight="1" ht="20.0">
      <c r="B242" s="105" t="s">
        <v>541</v>
      </c>
      <c r="C242" s="106" t="s">
        <v>496</v>
      </c>
      <c r="D242" s="158"/>
      <c r="E242" s="159">
        <v>1.71302325581395</v>
      </c>
      <c r="H242" s="155"/>
      <c r="I242" s="156"/>
      <c r="J242" s="157"/>
    </row>
    <row r="243" customHeight="1" ht="20.0">
      <c r="B243" s="105" t="s">
        <v>542</v>
      </c>
      <c r="C243" s="106" t="s">
        <v>543</v>
      </c>
      <c r="D243" s="158"/>
      <c r="E243" s="159">
        <v>3.12383720930232</v>
      </c>
      <c r="H243" s="155"/>
      <c r="I243" s="156"/>
      <c r="J243" s="157"/>
    </row>
    <row r="244" customHeight="1" ht="20.0">
      <c r="B244" s="105" t="s">
        <v>544</v>
      </c>
      <c r="C244" s="106" t="s">
        <v>545</v>
      </c>
      <c r="D244" s="158"/>
      <c r="E244" s="159">
        <v>4.6896511627907</v>
      </c>
      <c r="H244" s="155"/>
      <c r="I244" s="156"/>
      <c r="J244" s="157"/>
    </row>
    <row r="245" customHeight="1" ht="20.0">
      <c r="B245" s="105" t="s">
        <v>546</v>
      </c>
      <c r="C245" s="106" t="s">
        <v>547</v>
      </c>
      <c r="D245" s="158"/>
      <c r="E245" s="159">
        <v>3.20720930232558</v>
      </c>
      <c r="H245" s="155"/>
      <c r="I245" s="156"/>
      <c r="J245" s="157"/>
    </row>
    <row r="246" customHeight="1" ht="20.0">
      <c r="B246" s="105" t="s">
        <v>548</v>
      </c>
      <c r="C246" s="106" t="s">
        <v>549</v>
      </c>
      <c r="D246" s="158"/>
      <c r="E246" s="159">
        <v>2.40802325581395</v>
      </c>
      <c r="H246" s="155"/>
      <c r="I246" s="156"/>
      <c r="J246" s="157"/>
    </row>
    <row r="247" customHeight="1" ht="20.0">
      <c r="B247" s="105" t="s">
        <v>550</v>
      </c>
      <c r="C247" s="106" t="s">
        <v>551</v>
      </c>
      <c r="D247" s="158"/>
      <c r="E247" s="159">
        <v>2.9906976744186</v>
      </c>
      <c r="H247" s="155"/>
      <c r="I247" s="156"/>
      <c r="J247" s="157"/>
    </row>
    <row r="248" customHeight="1" ht="20.0">
      <c r="B248" s="105" t="s">
        <v>552</v>
      </c>
      <c r="C248" s="106" t="s">
        <v>553</v>
      </c>
      <c r="D248" s="158"/>
      <c r="E248" s="159">
        <v>3.48209302325581</v>
      </c>
      <c r="H248" s="155"/>
      <c r="I248" s="156"/>
      <c r="J248" s="157"/>
    </row>
    <row r="249" customHeight="1" ht="20.0">
      <c r="B249" s="105" t="s">
        <v>554</v>
      </c>
      <c r="C249" s="106" t="s">
        <v>555</v>
      </c>
      <c r="D249" s="158"/>
      <c r="E249" s="159">
        <v>6.48662790697674</v>
      </c>
      <c r="H249" s="155"/>
      <c r="I249" s="156"/>
      <c r="J249" s="157"/>
    </row>
    <row r="250" customHeight="1" ht="20.0">
      <c r="B250" s="105" t="s">
        <v>556</v>
      </c>
      <c r="C250" s="106" t="s">
        <v>557</v>
      </c>
      <c r="D250" s="158"/>
      <c r="E250" s="159">
        <v>6.47779069767441</v>
      </c>
      <c r="H250" s="155"/>
      <c r="I250" s="156"/>
      <c r="J250" s="157"/>
    </row>
    <row r="251" customHeight="1" ht="20.0">
      <c r="B251" s="105" t="s">
        <v>558</v>
      </c>
      <c r="C251" s="106" t="s">
        <v>559</v>
      </c>
      <c r="D251" s="158"/>
      <c r="E251" s="159">
        <v>10.9895348837209</v>
      </c>
    </row>
    <row r="252" customHeight="1" ht="20.0">
      <c r="B252" s="105" t="s">
        <v>560</v>
      </c>
      <c r="C252" s="106" t="s">
        <v>561</v>
      </c>
      <c r="D252" s="158"/>
      <c r="E252" s="159">
        <v>9.19593023255813</v>
      </c>
    </row>
    <row r="253" customHeight="1" ht="20.0">
      <c r="B253" s="116" t="s">
        <v>562</v>
      </c>
      <c r="C253" s="117" t="s">
        <v>563</v>
      </c>
      <c r="D253" s="160"/>
      <c r="E253" s="161">
        <v>9.3843023255814</v>
      </c>
    </row>
    <row r="254" customHeight="1" ht="20.0">
      <c r="B254" s="166"/>
      <c r="C254" s="157"/>
      <c r="D254" s="157"/>
      <c r="E254" s="157"/>
    </row>
    <row r="255" customHeight="1" ht="20.0">
      <c r="B255" s="126" t="s">
        <v>564</v>
      </c>
      <c r="C255" s="127" t="s">
        <v>565</v>
      </c>
      <c r="D255" s="167"/>
      <c r="E255" s="128">
        <v>0.95</v>
      </c>
    </row>
    <row r="256" customHeight="1" ht="20.0">
      <c r="B256" s="105" t="s">
        <v>566</v>
      </c>
      <c r="C256" s="106" t="s">
        <v>567</v>
      </c>
      <c r="D256" s="168"/>
      <c r="E256" s="108">
        <v>1.46906976744186</v>
      </c>
    </row>
    <row r="257" customHeight="1" ht="20.0">
      <c r="B257" s="105" t="s">
        <v>568</v>
      </c>
      <c r="C257" s="106" t="s">
        <v>569</v>
      </c>
      <c r="D257" s="168"/>
      <c r="E257" s="108">
        <v>4.69348837209302</v>
      </c>
    </row>
    <row r="258" customHeight="1" ht="20.0">
      <c r="B258" s="105" t="s">
        <v>570</v>
      </c>
      <c r="C258" s="106" t="s">
        <v>571</v>
      </c>
      <c r="D258" s="168"/>
      <c r="E258" s="108">
        <v>1.67395348837209</v>
      </c>
    </row>
    <row r="259" customHeight="1" ht="20.0">
      <c r="B259" s="105" t="s">
        <v>572</v>
      </c>
      <c r="C259" s="106" t="s">
        <v>573</v>
      </c>
      <c r="D259" s="168"/>
      <c r="E259" s="108">
        <v>2.18197674418604</v>
      </c>
    </row>
    <row r="260" customHeight="1" ht="20.0">
      <c r="B260" s="105" t="s">
        <v>574</v>
      </c>
      <c r="C260" s="106" t="s">
        <v>575</v>
      </c>
      <c r="D260" s="168"/>
      <c r="E260" s="108">
        <v>4.8146511627907</v>
      </c>
    </row>
    <row r="261" customHeight="1" ht="20.0">
      <c r="B261" s="105" t="s">
        <v>576</v>
      </c>
      <c r="C261" s="106" t="s">
        <v>577</v>
      </c>
      <c r="D261" s="168"/>
      <c r="E261" s="108">
        <v>6.0813953488372</v>
      </c>
    </row>
    <row r="262" customHeight="1" ht="20.0">
      <c r="B262" s="105" t="s">
        <v>578</v>
      </c>
      <c r="C262" s="106" t="s">
        <v>579</v>
      </c>
      <c r="D262" s="168"/>
      <c r="E262" s="108">
        <v>5.19279069767441</v>
      </c>
    </row>
    <row r="263" customHeight="1" ht="20.0">
      <c r="B263" s="105" t="s">
        <v>580</v>
      </c>
      <c r="C263" s="106" t="s">
        <v>581</v>
      </c>
      <c r="D263" s="168"/>
      <c r="E263" s="108">
        <v>5.22848837209302</v>
      </c>
    </row>
    <row r="264" customHeight="1" ht="20.0">
      <c r="B264" s="105" t="s">
        <v>582</v>
      </c>
      <c r="C264" s="106" t="s">
        <v>583</v>
      </c>
      <c r="D264" s="168"/>
      <c r="E264" s="108">
        <v>7.35523255813953</v>
      </c>
    </row>
    <row r="265" customHeight="1" ht="20.0">
      <c r="B265" s="105" t="s">
        <v>584</v>
      </c>
      <c r="C265" s="106" t="s">
        <v>585</v>
      </c>
      <c r="D265" s="168"/>
      <c r="E265" s="108">
        <v>6.10976744186047</v>
      </c>
    </row>
    <row r="266" customHeight="1" ht="20.0">
      <c r="B266" s="116" t="s">
        <v>586</v>
      </c>
      <c r="C266" s="117" t="s">
        <v>587</v>
      </c>
      <c r="D266" s="169"/>
      <c r="E266" s="118">
        <v>4.25</v>
      </c>
    </row>
    <row r="267" customHeight="1" ht="20.0">
      <c r="B267" s="166"/>
      <c r="C267" s="157"/>
      <c r="D267" s="157"/>
      <c r="E267" s="157"/>
    </row>
    <row r="268" customHeight="1" ht="20.0">
      <c r="B268" s="126" t="s">
        <v>588</v>
      </c>
      <c r="C268" s="127" t="s">
        <v>589</v>
      </c>
      <c r="D268" s="167"/>
      <c r="E268" s="128">
        <v>1.61348837209302</v>
      </c>
    </row>
    <row r="269" customHeight="1" ht="20.0">
      <c r="B269" s="105" t="s">
        <v>590</v>
      </c>
      <c r="C269" s="106" t="s">
        <v>591</v>
      </c>
      <c r="D269" s="168"/>
      <c r="E269" s="108">
        <v>1.8110465116279</v>
      </c>
    </row>
    <row r="270" customHeight="1" ht="20.0">
      <c r="B270" s="105" t="s">
        <v>592</v>
      </c>
      <c r="C270" s="106" t="s">
        <v>593</v>
      </c>
      <c r="D270" s="168"/>
      <c r="E270" s="108">
        <v>2.19767441860465</v>
      </c>
    </row>
    <row r="271" customHeight="1" ht="20.0">
      <c r="B271" s="105" t="s">
        <v>33</v>
      </c>
      <c r="C271" s="106" t="s">
        <v>521</v>
      </c>
      <c r="D271" s="168"/>
      <c r="E271" s="108">
        <v>2.19302325581395</v>
      </c>
    </row>
    <row r="272" customHeight="1" ht="20.0">
      <c r="B272" s="105" t="s">
        <v>594</v>
      </c>
      <c r="C272" s="106" t="s">
        <v>595</v>
      </c>
      <c r="D272" s="168"/>
      <c r="E272" s="108">
        <v>3.27744186046511</v>
      </c>
    </row>
    <row r="273" customHeight="1" ht="20.0">
      <c r="B273" s="105" t="s">
        <v>596</v>
      </c>
      <c r="C273" s="106" t="s">
        <v>496</v>
      </c>
      <c r="D273" s="168"/>
      <c r="E273" s="108">
        <v>3.27116279069768</v>
      </c>
    </row>
    <row r="274" customHeight="1" ht="20.0">
      <c r="B274" s="105" t="s">
        <v>597</v>
      </c>
      <c r="C274" s="106" t="s">
        <v>598</v>
      </c>
      <c r="D274" s="168"/>
      <c r="E274" s="108">
        <v>3.01453488372093</v>
      </c>
    </row>
    <row r="275" customHeight="1" ht="20.0">
      <c r="B275" s="105" t="s">
        <v>599</v>
      </c>
      <c r="C275" s="106" t="s">
        <v>600</v>
      </c>
      <c r="D275" s="168"/>
      <c r="E275" s="108">
        <v>4.31813953488372</v>
      </c>
    </row>
    <row r="276" customHeight="1" ht="20.0">
      <c r="B276" s="105" t="s">
        <v>601</v>
      </c>
      <c r="C276" s="106" t="s">
        <v>602</v>
      </c>
      <c r="D276" s="168"/>
      <c r="E276" s="108">
        <v>5.13453488372093</v>
      </c>
    </row>
    <row r="277" customHeight="1" ht="20.0">
      <c r="B277" s="105" t="s">
        <v>603</v>
      </c>
      <c r="C277" s="106" t="s">
        <v>604</v>
      </c>
      <c r="D277" s="168"/>
      <c r="E277" s="108">
        <v>7.95720930232558</v>
      </c>
    </row>
    <row r="278" customHeight="1" ht="20.0">
      <c r="B278" s="116" t="s">
        <v>605</v>
      </c>
      <c r="C278" s="117" t="s">
        <v>549</v>
      </c>
      <c r="D278" s="169"/>
      <c r="E278" s="118">
        <v>5.30337209302326</v>
      </c>
    </row>
    <row r="279" customHeight="1" ht="20.0">
      <c r="B279" s="166"/>
      <c r="C279" s="157"/>
      <c r="D279" s="157"/>
      <c r="E279" s="157"/>
    </row>
    <row r="280" customHeight="1" ht="21.0">
      <c r="B280" s="126" t="s">
        <v>606</v>
      </c>
      <c r="C280" s="127" t="s">
        <v>607</v>
      </c>
      <c r="D280" s="167"/>
      <c r="E280" s="128">
        <v>3.6446511627907</v>
      </c>
    </row>
    <row r="281" customHeight="1" ht="21.0">
      <c r="B281" s="105" t="s">
        <v>608</v>
      </c>
      <c r="C281" s="106" t="s">
        <v>609</v>
      </c>
      <c r="D281" s="168"/>
      <c r="E281" s="108">
        <v>2.2733720930232</v>
      </c>
    </row>
    <row r="282" customHeight="1" ht="21.0">
      <c r="B282" s="105" t="s">
        <v>610</v>
      </c>
      <c r="C282" s="106" t="s">
        <v>611</v>
      </c>
      <c r="D282" s="168"/>
      <c r="E282" s="108">
        <v>2.13081395348837</v>
      </c>
    </row>
    <row r="283" customHeight="1" ht="21.0">
      <c r="B283" s="105" t="s">
        <v>612</v>
      </c>
      <c r="C283" s="106" t="s">
        <v>571</v>
      </c>
      <c r="D283" s="168"/>
      <c r="E283" s="108">
        <v>2.2553488372093</v>
      </c>
    </row>
    <row r="284" customHeight="1" ht="21.0">
      <c r="B284" s="105" t="s">
        <v>612</v>
      </c>
      <c r="C284" s="106" t="s">
        <v>571</v>
      </c>
      <c r="D284" s="168"/>
      <c r="E284" s="108">
        <v>2.4413953488372</v>
      </c>
    </row>
    <row r="285" customHeight="1" ht="21.0">
      <c r="B285" s="105" t="s">
        <v>613</v>
      </c>
      <c r="C285" s="106" t="s">
        <v>573</v>
      </c>
      <c r="D285" s="168"/>
      <c r="E285" s="108">
        <v>2.18197674418604</v>
      </c>
    </row>
    <row r="286" customHeight="1" ht="21.0">
      <c r="B286" s="105" t="s">
        <v>614</v>
      </c>
      <c r="C286" s="106" t="s">
        <v>575</v>
      </c>
      <c r="D286" s="168"/>
      <c r="E286" s="108">
        <v>4.8146511627907</v>
      </c>
    </row>
    <row r="287" customHeight="1" ht="21.0">
      <c r="B287" s="105" t="s">
        <v>615</v>
      </c>
      <c r="C287" s="106" t="s">
        <v>616</v>
      </c>
      <c r="D287" s="168"/>
      <c r="E287" s="108">
        <v>2.4818604651162</v>
      </c>
    </row>
    <row r="288" customHeight="1" ht="21.0">
      <c r="B288" s="105" t="s">
        <v>617</v>
      </c>
      <c r="C288" s="106" t="s">
        <v>618</v>
      </c>
      <c r="D288" s="168"/>
      <c r="E288" s="108">
        <v>3.03488372093023</v>
      </c>
    </row>
    <row r="289" customHeight="1" ht="21.0">
      <c r="B289" s="105" t="s">
        <v>619</v>
      </c>
      <c r="C289" s="106" t="s">
        <v>620</v>
      </c>
      <c r="D289" s="168"/>
      <c r="E289" s="108">
        <v>2.44360465116279</v>
      </c>
    </row>
    <row r="290" customHeight="1" ht="21.0">
      <c r="B290" s="105" t="s">
        <v>621</v>
      </c>
      <c r="C290" s="106" t="s">
        <v>622</v>
      </c>
      <c r="D290" s="168"/>
      <c r="E290" s="108">
        <v>2.7093023255814</v>
      </c>
    </row>
    <row r="291" customHeight="1" ht="21.0">
      <c r="B291" s="105" t="s">
        <v>623</v>
      </c>
      <c r="C291" s="106" t="s">
        <v>624</v>
      </c>
      <c r="D291" s="168"/>
      <c r="E291" s="108">
        <v>3.5147674418604</v>
      </c>
    </row>
    <row r="292" customHeight="1" ht="21.0">
      <c r="B292" s="105" t="s">
        <v>625</v>
      </c>
      <c r="C292" s="106" t="s">
        <v>626</v>
      </c>
      <c r="D292" s="168"/>
      <c r="E292" s="108">
        <v>3.30523255813953</v>
      </c>
    </row>
    <row r="293" customHeight="1" ht="21.0">
      <c r="B293" s="105" t="s">
        <v>627</v>
      </c>
      <c r="C293" s="106" t="s">
        <v>628</v>
      </c>
      <c r="D293" s="168"/>
      <c r="E293" s="108">
        <v>3.40406976744186</v>
      </c>
    </row>
    <row r="294" customHeight="1" ht="21.0">
      <c r="B294" s="105" t="s">
        <v>629</v>
      </c>
      <c r="C294" s="106" t="s">
        <v>630</v>
      </c>
      <c r="D294" s="168"/>
      <c r="E294" s="108">
        <v>4.60813953488372</v>
      </c>
    </row>
    <row r="295" customHeight="1" ht="21.0">
      <c r="B295" s="105" t="s">
        <v>631</v>
      </c>
      <c r="C295" s="106" t="s">
        <v>632</v>
      </c>
      <c r="D295" s="168"/>
      <c r="E295" s="108">
        <v>3.99767441860465</v>
      </c>
    </row>
    <row r="296" customHeight="1" ht="21.0">
      <c r="B296" s="105" t="s">
        <v>633</v>
      </c>
      <c r="C296" s="106" t="s">
        <v>634</v>
      </c>
      <c r="D296" s="168"/>
      <c r="E296" s="108">
        <v>5.22558139534883</v>
      </c>
    </row>
    <row r="297" customHeight="1" ht="21.0">
      <c r="B297" s="105" t="s">
        <v>635</v>
      </c>
      <c r="C297" s="106" t="s">
        <v>636</v>
      </c>
      <c r="D297" s="168"/>
      <c r="E297" s="108">
        <v>3.1546511627907</v>
      </c>
    </row>
    <row r="298" customHeight="1" ht="21.0">
      <c r="B298" s="105" t="s">
        <v>637</v>
      </c>
      <c r="C298" s="106" t="s">
        <v>638</v>
      </c>
      <c r="D298" s="168"/>
      <c r="E298" s="108">
        <v>3.95174418604651</v>
      </c>
    </row>
    <row r="299" customHeight="1" ht="21.0">
      <c r="B299" s="105" t="s">
        <v>639</v>
      </c>
      <c r="C299" s="106" t="s">
        <v>640</v>
      </c>
      <c r="D299" s="168"/>
      <c r="E299" s="108">
        <v>4.45697674418604</v>
      </c>
    </row>
    <row r="300" customHeight="1" ht="21.0">
      <c r="B300" s="105" t="s">
        <v>641</v>
      </c>
      <c r="C300" s="106" t="s">
        <v>642</v>
      </c>
      <c r="D300" s="168"/>
      <c r="E300" s="108">
        <v>8.29709302325581</v>
      </c>
    </row>
    <row r="301" customHeight="1" ht="21.0">
      <c r="B301" s="116" t="s">
        <v>643</v>
      </c>
      <c r="C301" s="117" t="s">
        <v>644</v>
      </c>
      <c r="D301" s="169"/>
      <c r="E301" s="118">
        <v>7.78139534883721</v>
      </c>
    </row>
    <row r="302" ht="14.0">
      <c r="B302" s="157"/>
      <c r="C302" s="157"/>
      <c r="D302" s="157"/>
      <c r="E302" s="157"/>
      <c r="F302" s="157"/>
    </row>
    <row r="303" customHeight="1" ht="18.0">
      <c r="B303" s="126" t="s">
        <v>645</v>
      </c>
      <c r="C303" s="127" t="s">
        <v>646</v>
      </c>
      <c r="D303" s="167"/>
      <c r="E303" s="128">
        <v>3.3003488372093</v>
      </c>
      <c r="F303" s="155" t="s">
        <v>647</v>
      </c>
    </row>
    <row r="304" customHeight="1" ht="18.0">
      <c r="B304" s="105" t="s">
        <v>648</v>
      </c>
      <c r="C304" s="106" t="s">
        <v>649</v>
      </c>
      <c r="D304" s="168"/>
      <c r="E304" s="108">
        <v>2.87593023255813</v>
      </c>
      <c r="F304" s="155" t="s">
        <v>650</v>
      </c>
    </row>
    <row r="305" customHeight="1" ht="18.0">
      <c r="B305" s="105" t="s">
        <v>651</v>
      </c>
      <c r="C305" s="106" t="s">
        <v>652</v>
      </c>
      <c r="D305" s="168"/>
      <c r="E305" s="108">
        <v>3.09767441860465</v>
      </c>
      <c r="F305" s="155" t="s">
        <v>653</v>
      </c>
    </row>
    <row r="306" customHeight="1" ht="18.0">
      <c r="B306" s="105" t="s">
        <v>654</v>
      </c>
      <c r="C306" s="106" t="s">
        <v>655</v>
      </c>
      <c r="D306" s="168"/>
      <c r="E306" s="108">
        <v>2.836511627907</v>
      </c>
      <c r="F306" s="155" t="s">
        <v>656</v>
      </c>
    </row>
    <row r="307" customHeight="1" ht="18.0">
      <c r="B307" s="105" t="s">
        <v>657</v>
      </c>
      <c r="C307" s="106" t="s">
        <v>658</v>
      </c>
      <c r="D307" s="168"/>
      <c r="E307" s="108">
        <v>2.14511627906977</v>
      </c>
      <c r="F307" s="155" t="s">
        <v>656</v>
      </c>
    </row>
    <row r="308" customHeight="1" ht="18.0">
      <c r="B308" s="105" t="s">
        <v>659</v>
      </c>
      <c r="C308" s="106" t="s">
        <v>604</v>
      </c>
      <c r="D308" s="168"/>
      <c r="E308" s="108">
        <v>6.39906976744186</v>
      </c>
      <c r="F308" s="155" t="s">
        <v>660</v>
      </c>
    </row>
    <row r="309" customHeight="1" ht="18.0">
      <c r="B309" s="105" t="s">
        <v>661</v>
      </c>
      <c r="C309" s="106" t="s">
        <v>662</v>
      </c>
      <c r="D309" s="168"/>
      <c r="E309" s="108">
        <v>5.7156976744186</v>
      </c>
      <c r="F309" s="155" t="s">
        <v>660</v>
      </c>
    </row>
    <row r="310" customHeight="1" ht="18.0">
      <c r="B310" s="105" t="s">
        <v>663</v>
      </c>
      <c r="C310" s="106" t="s">
        <v>664</v>
      </c>
      <c r="D310" s="168"/>
      <c r="E310" s="108">
        <v>7.60232558139535</v>
      </c>
      <c r="F310" s="155" t="s">
        <v>665</v>
      </c>
    </row>
    <row r="311" customHeight="1" ht="18.0">
      <c r="B311" s="116" t="s">
        <v>666</v>
      </c>
      <c r="C311" s="117" t="s">
        <v>667</v>
      </c>
      <c r="D311" s="169"/>
      <c r="E311" s="118">
        <v>15.508720930232</v>
      </c>
      <c r="F311" s="155" t="s">
        <v>668</v>
      </c>
    </row>
    <row r="312" ht="14.0">
      <c r="B312" s="157"/>
      <c r="C312" s="157"/>
      <c r="D312" s="157"/>
      <c r="E312" s="157"/>
      <c r="F312" s="157"/>
    </row>
    <row r="313" customHeight="1" ht="21.0">
      <c r="B313" s="126" t="s">
        <v>669</v>
      </c>
      <c r="C313" s="127" t="s">
        <v>670</v>
      </c>
      <c r="D313" s="167"/>
      <c r="E313" s="128">
        <v>24.463953488372</v>
      </c>
      <c r="F313" s="155" t="s">
        <v>671</v>
      </c>
    </row>
    <row r="314" customHeight="1" ht="21.0">
      <c r="B314" s="116" t="s">
        <v>672</v>
      </c>
      <c r="C314" s="117" t="s">
        <v>673</v>
      </c>
      <c r="D314" s="169"/>
      <c r="E314" s="118">
        <v>106.298953488372</v>
      </c>
      <c r="F314" s="155" t="s">
        <v>674</v>
      </c>
    </row>
  </sheetData>
  <mergeCells count="27">
    <mergeCell ref="A2:M2"/>
    <mergeCell ref="A1:M1"/>
    <mergeCell ref="A3:M3"/>
    <mergeCell ref="A12:M12"/>
    <mergeCell ref="G203:J203"/>
    <mergeCell ref="B29:E29"/>
    <mergeCell ref="B72:E72"/>
    <mergeCell ref="B156:E156"/>
    <mergeCell ref="B254:E254"/>
    <mergeCell ref="B203:E203"/>
    <mergeCell ref="B216:E216"/>
    <mergeCell ref="B312:F312"/>
    <mergeCell ref="B302:F302"/>
    <mergeCell ref="J23:L23"/>
    <mergeCell ref="B267:E267"/>
    <mergeCell ref="B279:E279"/>
    <mergeCell ref="J19:L19"/>
    <mergeCell ref="J18:L18"/>
    <mergeCell ref="J17:L17"/>
    <mergeCell ref="J22:L22"/>
    <mergeCell ref="J21:L21"/>
    <mergeCell ref="J20:L20"/>
    <mergeCell ref="J25:L25"/>
    <mergeCell ref="J26:L26"/>
    <mergeCell ref="J24:L24"/>
    <mergeCell ref="P24:Q24"/>
    <mergeCell ref="P23:Q23"/>
  </mergeCells>
  <conditionalFormatting sqref="J16:M16">
    <cfRule dxfId="0" operator="greaterThan" type="cellIs" priority="1">
      <formula>0</formula>
    </cfRule>
  </conditionalFormatting>
  <conditionalFormatting sqref="M17:M21 M23:M23">
    <cfRule dxfId="0" operator="greaterThan" type="cellIs" priority="2">
      <formula>0</formula>
    </cfRule>
  </conditionalFormatting>
  <conditionalFormatting sqref="M14:M15">
    <cfRule dxfId="1" type="expression" priority="3">
      <formula>ISTEXT(M14)</formula>
    </cfRule>
  </conditionalFormatting>
  <conditionalFormatting sqref="L13:M15">
    <cfRule dxfId="0" operator="greaterThan" type="cellIs" priority="4">
      <formula>0</formula>
    </cfRule>
  </conditionalFormatting>
  <conditionalFormatting sqref="M13:M13">
    <cfRule dxfId="1" type="expression" priority="5">
      <formula>ISTEXT(M13)</formula>
    </cfRule>
  </conditionalFormatting>
  <conditionalFormatting sqref="M5:M11 J5:K11">
    <cfRule dxfId="1" type="expression" priority="6">
      <formula>ISTEXT(J5)</formula>
    </cfRule>
  </conditionalFormatting>
  <conditionalFormatting sqref="J5:M11">
    <cfRule dxfId="0" operator="greaterThan" type="cellIs" priority="7">
      <formula>0</formula>
    </cfRule>
  </conditionalFormatting>
  <conditionalFormatting sqref="K13:K16">
    <cfRule dxfId="1" type="expression" priority="8">
      <formula>ISTEXT(K13)</formula>
    </cfRule>
  </conditionalFormatting>
  <conditionalFormatting sqref="K13:K15">
    <cfRule dxfId="0" operator="greaterThan" type="cellIs" priority="9">
      <formula>0</formula>
    </cfRule>
  </conditionalFormatting>
  <dataValidations count="5">
    <dataValidation allowBlank="1" showErrorMessage="1" errorTitle="The value you entered is not valid." error="The value entered violates data validation rules set in cell" errorStyle="stop" type="list" sqref="H5:H11">
      <formula1>P$29:$P$1077</formula1>
    </dataValidation>
    <dataValidation allowBlank="1" showErrorMessage="1" errorTitle="The value you entered is not valid." error="The value entered violates data validation rules set in cell" errorStyle="stop" type="list" sqref="B13:B15">
      <formula1>B$31:$B$1098</formula1>
    </dataValidation>
    <dataValidation allowBlank="1" showErrorMessage="1" errorTitle="The value you entered is not valid." error="The value entered violates data validation rules set in cell" errorStyle="stop" type="list" sqref="D5:D11">
      <formula1>G$30:$G$57</formula1>
    </dataValidation>
    <dataValidation allowBlank="1" showErrorMessage="1" errorTitle="The value you entered is not valid." error="The value entered violates data validation rules set in cell" errorStyle="stop" type="list" sqref="B5:B11">
      <formula1>K$30:$K$100</formula1>
    </dataValidation>
    <dataValidation allowBlank="1" showErrorMessage="1" errorTitle="The value you entered is not valid." error="The value entered violates data validation rules set in cell" errorStyle="stop" type="list" sqref="I5:I11">
      <formula1>"Circular Bar,Flat"</formula1>
    </dataValidation>
  </dataValidation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24"/>
  <sheetViews>
    <sheetView workbookViewId="0"/>
  </sheetViews>
  <sheetFormatPr defaultRowHeight="15.0" customHeight="1"/>
  <cols>
    <col min="1" max="1" style="1" width="16.95"/>
    <col min="2" max="2" style="2" width="25.83"/>
    <col min="3" max="3" style="2" width="18.15"/>
    <col min="4" max="4" style="170" width="26.23"/>
    <col min="5" max="5" style="1" width="12.58"/>
    <col min="6" max="7" style="1" width="14.83"/>
    <col min="8" max="8" style="1" width="17.48"/>
    <col min="9" max="9" style="1" width="14.57"/>
    <col min="10" max="10" style="1" width="14.17"/>
    <col min="11" max="11" style="1" width="14.97"/>
    <col min="12" max="12" style="1" width="13.51"/>
    <col min="13" max="13" style="1" width="12.45"/>
    <col min="14" max="14" style="1" width="9.14"/>
    <col min="15" max="15" style="4" width="14.57"/>
    <col min="16" max="16" style="4" width="15.23"/>
    <col min="17" max="17" style="4" width="27.16"/>
    <col min="18" max="18" style="4" width="17.48"/>
    <col min="19" max="19" style="4" width="20.0"/>
    <col min="20" max="20" style="4" width="20.8"/>
    <col min="21" max="21" style="4" width="16.42"/>
    <col min="22" max="22" style="4" width="26.49"/>
    <col min="23" max="23" style="4" width="29.01"/>
    <col min="24" max="24" style="4" width="18.01"/>
    <col min="25" max="25" style="4" width="24.11"/>
    <col min="26" max="26" style="4" width="16.42"/>
    <col min="27" max="27" style="4" width="14.44"/>
    <col min="28" max="28" style="4" width="9.14"/>
    <col min="29" max="29" style="4" width="12.58"/>
    <col min="30" max="30" style="4" width="23.58"/>
    <col min="31" max="2048" style="1" width="9.14"/>
  </cols>
  <sheetData>
    <row r="1" customHeight="1" ht="27.0" customFormat="1" s="1">
      <c r="A1" s="5" t="s">
        <f>"MACHINING COST BORE "&amp;'CYLINDER COST'!C17&amp;" X STROKE "&amp;'CYLINDER COST'!C19&amp;" X ROD "&amp;'CYLINDER COST'!C18&amp;" ASSY"</f>
        <v>675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171"/>
      <c r="O1" s="171"/>
      <c r="P1" s="171"/>
    </row>
    <row r="2" ht="56.0" customFormat="1" s="1">
      <c r="A2" s="172" t="s">
        <v>676</v>
      </c>
      <c r="B2" s="172" t="s">
        <v>677</v>
      </c>
      <c r="C2" s="172" t="s">
        <v>678</v>
      </c>
      <c r="D2" s="172" t="s">
        <v>679</v>
      </c>
      <c r="E2" s="172" t="s">
        <v>680</v>
      </c>
      <c r="F2" s="172" t="s">
        <v>681</v>
      </c>
      <c r="G2" s="172" t="s">
        <v>682</v>
      </c>
      <c r="H2" s="172" t="s">
        <v>683</v>
      </c>
      <c r="I2" s="173" t="s">
        <v>684</v>
      </c>
      <c r="J2" s="172" t="s">
        <v>685</v>
      </c>
      <c r="K2" s="173" t="s">
        <v>686</v>
      </c>
      <c r="L2" s="172" t="s">
        <v>687</v>
      </c>
      <c r="M2" s="172" t="s">
        <v>688</v>
      </c>
      <c r="N2" s="174"/>
      <c r="O2" s="175" t="s">
        <v>689</v>
      </c>
      <c r="P2" s="176" t="s">
        <v>690</v>
      </c>
    </row>
    <row r="3" ht="18.0" customFormat="1" s="1">
      <c r="A3" s="177" t="s">
        <f>'CYLINDER COST'!B5</f>
        <v>16</v>
      </c>
      <c r="B3" s="178">
        <v>1.0</v>
      </c>
      <c r="C3" s="178" t="s">
        <v>691</v>
      </c>
      <c r="D3" s="178" t="s">
        <v>692</v>
      </c>
      <c r="E3" s="178">
        <v>1.0</v>
      </c>
      <c r="F3" s="178">
        <v>20.0</v>
      </c>
      <c r="G3" s="178">
        <v>10.0</v>
      </c>
      <c r="H3" s="178">
        <f t="shared" ref="H3:H24" si="2">VLOOKUP(D3,$O$3:$P$9,2,false)</f>
        <v>4.67</v>
      </c>
      <c r="I3" s="178">
        <f t="shared" ref="I3:I24" si="3">E3*H3</f>
        <v>4.67</v>
      </c>
      <c r="J3" s="178">
        <f t="shared" ref="J3:J24" si="4">F3*H3</f>
        <v>93.4</v>
      </c>
      <c r="K3" s="178">
        <f t="shared" ref="K3:K24" si="5">J3/G3</f>
        <v>9.34</v>
      </c>
      <c r="L3" s="178">
        <f t="shared" ref="L3:L24" si="6">K3+I3</f>
        <v>14.01</v>
      </c>
      <c r="M3" s="179">
        <f>SUMIF(L3:L6,"&lt;&gt;#DIV/0!")/85</f>
        <v>1.24223529411764</v>
      </c>
      <c r="N3" s="180"/>
      <c r="O3" s="181" t="s">
        <v>693</v>
      </c>
      <c r="P3" s="182">
        <v>5.83</v>
      </c>
    </row>
    <row r="4" ht="16.0" customFormat="1" s="1">
      <c r="A4" s="181"/>
      <c r="B4" s="183">
        <v>2.0</v>
      </c>
      <c r="C4" s="183" t="s">
        <v>694</v>
      </c>
      <c r="D4" s="183" t="s">
        <v>695</v>
      </c>
      <c r="E4" s="183">
        <v>2.0</v>
      </c>
      <c r="F4" s="183">
        <v>30.0</v>
      </c>
      <c r="G4" s="183">
        <f t="shared" ref="G4:G24" si="8">G3</f>
        <v>10.0</v>
      </c>
      <c r="H4" s="183">
        <f t="shared" si="2"/>
        <v>3.0</v>
      </c>
      <c r="I4" s="183">
        <f t="shared" si="3"/>
        <v>6.0</v>
      </c>
      <c r="J4" s="183">
        <f t="shared" si="4"/>
        <v>90.0</v>
      </c>
      <c r="K4" s="183">
        <f t="shared" si="5"/>
        <v>9.0</v>
      </c>
      <c r="L4" s="183">
        <f t="shared" si="6"/>
        <v>15.0</v>
      </c>
      <c r="M4" s="184"/>
      <c r="N4" s="180"/>
      <c r="O4" s="181" t="s">
        <v>696</v>
      </c>
      <c r="P4" s="182">
        <v>4.16</v>
      </c>
    </row>
    <row r="5" ht="16.0" customFormat="1" s="1">
      <c r="A5" s="181"/>
      <c r="B5" s="183">
        <v>3.0</v>
      </c>
      <c r="C5" s="183" t="s">
        <v>697</v>
      </c>
      <c r="D5" s="183" t="s">
        <v>695</v>
      </c>
      <c r="E5" s="183">
        <v>1.5</v>
      </c>
      <c r="F5" s="183">
        <v>60.0</v>
      </c>
      <c r="G5" s="183">
        <f t="shared" si="8"/>
        <v>10.0</v>
      </c>
      <c r="H5" s="183">
        <f t="shared" si="2"/>
        <v>3.0</v>
      </c>
      <c r="I5" s="183">
        <f t="shared" si="3"/>
        <v>4.5</v>
      </c>
      <c r="J5" s="183">
        <f t="shared" si="4"/>
        <v>180.0</v>
      </c>
      <c r="K5" s="183">
        <f t="shared" si="5"/>
        <v>18.0</v>
      </c>
      <c r="L5" s="183">
        <f t="shared" si="6"/>
        <v>22.5</v>
      </c>
      <c r="M5" s="184"/>
      <c r="N5" s="180"/>
      <c r="O5" s="181" t="s">
        <v>692</v>
      </c>
      <c r="P5" s="182">
        <v>4.67</v>
      </c>
    </row>
    <row r="6" ht="16.0" customFormat="1" s="1">
      <c r="A6" s="185"/>
      <c r="B6" s="186">
        <v>4.0</v>
      </c>
      <c r="C6" s="186" t="s">
        <v>698</v>
      </c>
      <c r="D6" s="186" t="s">
        <v>696</v>
      </c>
      <c r="E6" s="186">
        <v>7.0</v>
      </c>
      <c r="F6" s="186">
        <v>60.0</v>
      </c>
      <c r="G6" s="186">
        <f t="shared" si="8"/>
        <v>10.0</v>
      </c>
      <c r="H6" s="186">
        <f t="shared" si="2"/>
        <v>4.16</v>
      </c>
      <c r="I6" s="186">
        <f t="shared" si="3"/>
        <v>29.12</v>
      </c>
      <c r="J6" s="186">
        <f t="shared" si="4"/>
        <v>249.6</v>
      </c>
      <c r="K6" s="186">
        <f t="shared" si="5"/>
        <v>24.96</v>
      </c>
      <c r="L6" s="186">
        <f t="shared" si="6"/>
        <v>54.08</v>
      </c>
      <c r="M6" s="187"/>
      <c r="N6" s="180"/>
      <c r="O6" s="185" t="s">
        <v>695</v>
      </c>
      <c r="P6" s="188">
        <v>3.0</v>
      </c>
    </row>
    <row r="7" ht="16.0" customFormat="1" s="1">
      <c r="A7" s="177" t="s">
        <f>'CYLINDER COST'!B6</f>
        <v>19</v>
      </c>
      <c r="B7" s="178">
        <v>1.0</v>
      </c>
      <c r="C7" s="178" t="s">
        <v>691</v>
      </c>
      <c r="D7" s="178" t="s">
        <v>692</v>
      </c>
      <c r="E7" s="178">
        <v>1.0</v>
      </c>
      <c r="F7" s="178">
        <v>20.0</v>
      </c>
      <c r="G7" s="178">
        <f t="shared" si="8"/>
        <v>10.0</v>
      </c>
      <c r="H7" s="178">
        <f t="shared" si="2"/>
        <v>4.67</v>
      </c>
      <c r="I7" s="178">
        <f t="shared" si="3"/>
        <v>4.67</v>
      </c>
      <c r="J7" s="178">
        <f t="shared" si="4"/>
        <v>93.4</v>
      </c>
      <c r="K7" s="178">
        <f t="shared" si="5"/>
        <v>9.34</v>
      </c>
      <c r="L7" s="178">
        <f t="shared" si="6"/>
        <v>14.01</v>
      </c>
      <c r="M7" s="179">
        <f>SUMIF(L7:L9,"&lt;&gt;#DIV/0!")/85</f>
        <v>1.14364705882352</v>
      </c>
      <c r="N7" s="180"/>
      <c r="O7" s="180"/>
      <c r="P7" s="180"/>
    </row>
    <row r="8" ht="16.0" customFormat="1" s="1">
      <c r="A8" s="181"/>
      <c r="B8" s="183">
        <v>2.0</v>
      </c>
      <c r="C8" s="183" t="s">
        <v>699</v>
      </c>
      <c r="D8" s="183" t="s">
        <v>696</v>
      </c>
      <c r="E8" s="183">
        <v>5.0</v>
      </c>
      <c r="F8" s="183">
        <v>45.0</v>
      </c>
      <c r="G8" s="183">
        <f t="shared" si="8"/>
        <v>10.0</v>
      </c>
      <c r="H8" s="183">
        <f t="shared" si="2"/>
        <v>4.16</v>
      </c>
      <c r="I8" s="183">
        <f t="shared" si="3"/>
        <v>20.8</v>
      </c>
      <c r="J8" s="183">
        <f t="shared" si="4"/>
        <v>187.2</v>
      </c>
      <c r="K8" s="183">
        <f t="shared" si="5"/>
        <v>18.72</v>
      </c>
      <c r="L8" s="183">
        <f t="shared" si="6"/>
        <v>39.52</v>
      </c>
      <c r="M8" s="184"/>
      <c r="N8" s="180"/>
      <c r="O8" s="180"/>
      <c r="P8" s="180"/>
    </row>
    <row r="9" ht="16.0" customFormat="1" s="1">
      <c r="A9" s="185"/>
      <c r="B9" s="186">
        <v>3.0</v>
      </c>
      <c r="C9" s="183" t="s">
        <v>699</v>
      </c>
      <c r="D9" s="186" t="s">
        <v>696</v>
      </c>
      <c r="E9" s="186">
        <v>6.0</v>
      </c>
      <c r="F9" s="186">
        <v>45.0</v>
      </c>
      <c r="G9" s="186">
        <f t="shared" si="8"/>
        <v>10.0</v>
      </c>
      <c r="H9" s="186">
        <f t="shared" si="2"/>
        <v>4.16</v>
      </c>
      <c r="I9" s="186">
        <f t="shared" si="3"/>
        <v>24.96</v>
      </c>
      <c r="J9" s="186">
        <f t="shared" si="4"/>
        <v>187.2</v>
      </c>
      <c r="K9" s="186">
        <f t="shared" si="5"/>
        <v>18.72</v>
      </c>
      <c r="L9" s="186">
        <f t="shared" si="6"/>
        <v>43.68</v>
      </c>
      <c r="M9" s="187"/>
      <c r="N9" s="180"/>
      <c r="O9" s="180"/>
      <c r="P9" s="180"/>
    </row>
    <row r="10" ht="16.0" customFormat="1" s="1">
      <c r="A10" s="177" t="s">
        <f>'CYLINDER COST'!B7</f>
        <v>21</v>
      </c>
      <c r="B10" s="178">
        <v>1.0</v>
      </c>
      <c r="C10" s="178" t="s">
        <v>691</v>
      </c>
      <c r="D10" s="178" t="s">
        <v>692</v>
      </c>
      <c r="E10" s="178">
        <v>1.0</v>
      </c>
      <c r="F10" s="178">
        <v>20.0</v>
      </c>
      <c r="G10" s="178">
        <f t="shared" si="8"/>
        <v>10.0</v>
      </c>
      <c r="H10" s="178">
        <f t="shared" si="2"/>
        <v>4.67</v>
      </c>
      <c r="I10" s="178">
        <f t="shared" si="3"/>
        <v>4.67</v>
      </c>
      <c r="J10" s="178">
        <f t="shared" si="4"/>
        <v>93.4</v>
      </c>
      <c r="K10" s="178">
        <f t="shared" si="5"/>
        <v>9.34</v>
      </c>
      <c r="L10" s="178">
        <f t="shared" si="6"/>
        <v>14.01</v>
      </c>
      <c r="M10" s="179">
        <f>SUMIF(L10:L12,"&lt;&gt;#DIV/0!")/85</f>
        <v>0.703176470588235</v>
      </c>
      <c r="N10" s="180"/>
      <c r="O10" s="180"/>
      <c r="P10" s="180"/>
    </row>
    <row r="11" ht="16.0" customFormat="1" s="1">
      <c r="A11" s="181"/>
      <c r="B11" s="183">
        <v>2.0</v>
      </c>
      <c r="C11" s="183" t="s">
        <v>699</v>
      </c>
      <c r="D11" s="183" t="s">
        <v>696</v>
      </c>
      <c r="E11" s="183">
        <v>4.0</v>
      </c>
      <c r="F11" s="183">
        <v>20.0</v>
      </c>
      <c r="G11" s="183">
        <f t="shared" si="8"/>
        <v>10.0</v>
      </c>
      <c r="H11" s="183">
        <f t="shared" si="2"/>
        <v>4.16</v>
      </c>
      <c r="I11" s="183">
        <f t="shared" si="3"/>
        <v>16.64</v>
      </c>
      <c r="J11" s="183">
        <f t="shared" si="4"/>
        <v>83.2</v>
      </c>
      <c r="K11" s="183">
        <f t="shared" si="5"/>
        <v>8.32</v>
      </c>
      <c r="L11" s="183">
        <f t="shared" si="6"/>
        <v>24.96</v>
      </c>
      <c r="M11" s="184"/>
      <c r="N11" s="180"/>
      <c r="O11" s="180"/>
      <c r="P11" s="180"/>
    </row>
    <row r="12" ht="16.0" customFormat="1" s="1">
      <c r="A12" s="185"/>
      <c r="B12" s="186">
        <v>3.0</v>
      </c>
      <c r="C12" s="183" t="s">
        <v>699</v>
      </c>
      <c r="D12" s="186" t="s">
        <v>696</v>
      </c>
      <c r="E12" s="186">
        <v>3.0</v>
      </c>
      <c r="F12" s="186">
        <v>20.0</v>
      </c>
      <c r="G12" s="186">
        <f t="shared" si="8"/>
        <v>10.0</v>
      </c>
      <c r="H12" s="186">
        <f t="shared" si="2"/>
        <v>4.16</v>
      </c>
      <c r="I12" s="186">
        <f t="shared" si="3"/>
        <v>12.48</v>
      </c>
      <c r="J12" s="186">
        <f t="shared" si="4"/>
        <v>83.2</v>
      </c>
      <c r="K12" s="186">
        <f t="shared" si="5"/>
        <v>8.32</v>
      </c>
      <c r="L12" s="186">
        <f t="shared" si="6"/>
        <v>20.8</v>
      </c>
      <c r="M12" s="187"/>
      <c r="N12" s="180"/>
      <c r="O12" s="180"/>
      <c r="P12" s="180"/>
    </row>
    <row r="13" ht="16.0" customFormat="1" s="1">
      <c r="A13" s="177" t="s">
        <f>'CYLINDER COST'!B8</f>
        <v>23</v>
      </c>
      <c r="B13" s="178">
        <v>1.0</v>
      </c>
      <c r="C13" s="178" t="s">
        <v>691</v>
      </c>
      <c r="D13" s="178" t="s">
        <v>692</v>
      </c>
      <c r="E13" s="178">
        <v>1.0</v>
      </c>
      <c r="F13" s="178">
        <v>20.0</v>
      </c>
      <c r="G13" s="178">
        <f t="shared" si="8"/>
        <v>10.0</v>
      </c>
      <c r="H13" s="178">
        <f t="shared" si="2"/>
        <v>4.67</v>
      </c>
      <c r="I13" s="178">
        <f t="shared" si="3"/>
        <v>4.67</v>
      </c>
      <c r="J13" s="178">
        <f t="shared" si="4"/>
        <v>93.4</v>
      </c>
      <c r="K13" s="178">
        <f t="shared" si="5"/>
        <v>9.34</v>
      </c>
      <c r="L13" s="178">
        <f t="shared" si="6"/>
        <v>14.01</v>
      </c>
      <c r="M13" s="179">
        <f>SUMIF(L13:L15,"&lt;&gt;#DIV/0!")/85</f>
        <v>1.14364705882352</v>
      </c>
      <c r="N13" s="180"/>
      <c r="O13" s="180"/>
      <c r="P13" s="180"/>
    </row>
    <row r="14" ht="16.0" customFormat="1" s="1">
      <c r="A14" s="181"/>
      <c r="B14" s="183">
        <v>2.0</v>
      </c>
      <c r="C14" s="183" t="s">
        <v>699</v>
      </c>
      <c r="D14" s="183" t="s">
        <v>696</v>
      </c>
      <c r="E14" s="183">
        <v>6.0</v>
      </c>
      <c r="F14" s="183">
        <v>30.0</v>
      </c>
      <c r="G14" s="183">
        <f t="shared" si="8"/>
        <v>10.0</v>
      </c>
      <c r="H14" s="183">
        <f t="shared" si="2"/>
        <v>4.16</v>
      </c>
      <c r="I14" s="183">
        <f t="shared" si="3"/>
        <v>24.96</v>
      </c>
      <c r="J14" s="183">
        <f t="shared" si="4"/>
        <v>124.8</v>
      </c>
      <c r="K14" s="183">
        <f t="shared" si="5"/>
        <v>12.48</v>
      </c>
      <c r="L14" s="183">
        <f t="shared" si="6"/>
        <v>37.44</v>
      </c>
      <c r="M14" s="184"/>
      <c r="N14" s="180"/>
      <c r="O14" s="180"/>
      <c r="P14" s="180"/>
    </row>
    <row r="15" ht="16.0" customFormat="1" s="1">
      <c r="A15" s="185"/>
      <c r="B15" s="186">
        <v>3.0</v>
      </c>
      <c r="C15" s="183" t="s">
        <v>699</v>
      </c>
      <c r="D15" s="183" t="s">
        <v>696</v>
      </c>
      <c r="E15" s="186">
        <v>5.0</v>
      </c>
      <c r="F15" s="186">
        <v>60.0</v>
      </c>
      <c r="G15" s="186">
        <f t="shared" si="8"/>
        <v>10.0</v>
      </c>
      <c r="H15" s="186">
        <f t="shared" si="2"/>
        <v>4.16</v>
      </c>
      <c r="I15" s="186">
        <f t="shared" si="3"/>
        <v>20.8</v>
      </c>
      <c r="J15" s="186">
        <f t="shared" si="4"/>
        <v>249.6</v>
      </c>
      <c r="K15" s="186">
        <f t="shared" si="5"/>
        <v>24.96</v>
      </c>
      <c r="L15" s="186">
        <f t="shared" si="6"/>
        <v>45.76</v>
      </c>
      <c r="M15" s="187"/>
      <c r="N15" s="180"/>
      <c r="O15" s="180"/>
      <c r="P15" s="180"/>
    </row>
    <row r="16" ht="16.0" customFormat="1" s="1">
      <c r="A16" s="177" t="s">
        <f>'CYLINDER COST'!B9</f>
        <v>25</v>
      </c>
      <c r="B16" s="178">
        <v>1.0</v>
      </c>
      <c r="C16" s="178" t="s">
        <v>691</v>
      </c>
      <c r="D16" s="178" t="s">
        <v>692</v>
      </c>
      <c r="E16" s="178">
        <v>1.0</v>
      </c>
      <c r="F16" s="178">
        <v>20.0</v>
      </c>
      <c r="G16" s="178">
        <f t="shared" si="8"/>
        <v>10.0</v>
      </c>
      <c r="H16" s="178">
        <f t="shared" si="2"/>
        <v>4.67</v>
      </c>
      <c r="I16" s="178">
        <f t="shared" si="3"/>
        <v>4.67</v>
      </c>
      <c r="J16" s="178">
        <f t="shared" si="4"/>
        <v>93.4</v>
      </c>
      <c r="K16" s="178">
        <f t="shared" si="5"/>
        <v>9.34</v>
      </c>
      <c r="L16" s="178">
        <f t="shared" si="6"/>
        <v>14.01</v>
      </c>
      <c r="M16" s="179">
        <f>SUMIF(L16:L18,"&lt;&gt;#DIV/0!")/85</f>
        <v>0.605294117647059</v>
      </c>
      <c r="N16" s="180"/>
      <c r="O16" s="180"/>
      <c r="P16" s="180"/>
    </row>
    <row r="17" ht="16.0">
      <c r="A17" s="181"/>
      <c r="B17" s="183">
        <v>2.0</v>
      </c>
      <c r="C17" s="183" t="s">
        <v>699</v>
      </c>
      <c r="D17" s="183" t="s">
        <v>696</v>
      </c>
      <c r="E17" s="183">
        <v>3.0</v>
      </c>
      <c r="F17" s="183">
        <v>20.0</v>
      </c>
      <c r="G17" s="183">
        <f t="shared" si="8"/>
        <v>10.0</v>
      </c>
      <c r="H17" s="183">
        <f t="shared" si="2"/>
        <v>4.16</v>
      </c>
      <c r="I17" s="183">
        <f t="shared" si="3"/>
        <v>12.48</v>
      </c>
      <c r="J17" s="183">
        <f t="shared" si="4"/>
        <v>83.2</v>
      </c>
      <c r="K17" s="183">
        <f t="shared" si="5"/>
        <v>8.32</v>
      </c>
      <c r="L17" s="183">
        <f t="shared" si="6"/>
        <v>20.8</v>
      </c>
      <c r="M17" s="184"/>
      <c r="N17" s="180"/>
      <c r="O17" s="180"/>
      <c r="P17" s="18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6.0">
      <c r="A18" s="185"/>
      <c r="B18" s="186">
        <v>3.0</v>
      </c>
      <c r="C18" s="183" t="s">
        <v>699</v>
      </c>
      <c r="D18" s="183" t="s">
        <v>696</v>
      </c>
      <c r="E18" s="186">
        <v>2.0</v>
      </c>
      <c r="F18" s="186">
        <v>20.0</v>
      </c>
      <c r="G18" s="186">
        <f t="shared" si="8"/>
        <v>10.0</v>
      </c>
      <c r="H18" s="186">
        <f t="shared" si="2"/>
        <v>4.16</v>
      </c>
      <c r="I18" s="186">
        <f t="shared" si="3"/>
        <v>8.32</v>
      </c>
      <c r="J18" s="186">
        <f t="shared" si="4"/>
        <v>83.2</v>
      </c>
      <c r="K18" s="186">
        <f t="shared" si="5"/>
        <v>8.32</v>
      </c>
      <c r="L18" s="186">
        <f t="shared" si="6"/>
        <v>16.64</v>
      </c>
      <c r="M18" s="187"/>
      <c r="N18" s="180"/>
      <c r="O18" s="180"/>
      <c r="P18" s="18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6.0">
      <c r="A19" s="177" t="s">
        <f>'CYLINDER COST'!B10</f>
        <v>26</v>
      </c>
      <c r="B19" s="178">
        <v>1.0</v>
      </c>
      <c r="C19" s="178" t="s">
        <v>691</v>
      </c>
      <c r="D19" s="178" t="s">
        <v>692</v>
      </c>
      <c r="E19" s="178">
        <v>1.0</v>
      </c>
      <c r="F19" s="178">
        <v>20.0</v>
      </c>
      <c r="G19" s="178">
        <f t="shared" si="8"/>
        <v>10.0</v>
      </c>
      <c r="H19" s="178">
        <f t="shared" si="2"/>
        <v>4.67</v>
      </c>
      <c r="I19" s="178">
        <f t="shared" si="3"/>
        <v>4.67</v>
      </c>
      <c r="J19" s="178">
        <f t="shared" si="4"/>
        <v>93.4</v>
      </c>
      <c r="K19" s="178">
        <f t="shared" si="5"/>
        <v>9.34</v>
      </c>
      <c r="L19" s="178">
        <f t="shared" si="6"/>
        <v>14.01</v>
      </c>
      <c r="M19" s="179">
        <f>SUMIF(L19:L21,"&lt;&gt;#DIV/0!")/85</f>
        <v>0.654235294117647</v>
      </c>
      <c r="N19" s="180"/>
      <c r="O19" s="180"/>
      <c r="P19" s="18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6.0">
      <c r="A20" s="181"/>
      <c r="B20" s="183">
        <v>2.0</v>
      </c>
      <c r="C20" s="183" t="s">
        <v>699</v>
      </c>
      <c r="D20" s="183" t="s">
        <v>696</v>
      </c>
      <c r="E20" s="183">
        <v>2.0</v>
      </c>
      <c r="F20" s="183">
        <v>30.0</v>
      </c>
      <c r="G20" s="183">
        <f t="shared" si="8"/>
        <v>10.0</v>
      </c>
      <c r="H20" s="183">
        <f t="shared" si="2"/>
        <v>4.16</v>
      </c>
      <c r="I20" s="183">
        <f t="shared" si="3"/>
        <v>8.32</v>
      </c>
      <c r="J20" s="183">
        <f t="shared" si="4"/>
        <v>124.8</v>
      </c>
      <c r="K20" s="183">
        <f t="shared" si="5"/>
        <v>12.48</v>
      </c>
      <c r="L20" s="183">
        <f t="shared" si="6"/>
        <v>20.8</v>
      </c>
      <c r="M20" s="184"/>
      <c r="N20" s="180"/>
      <c r="O20" s="180"/>
      <c r="P20" s="18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6.0">
      <c r="A21" s="185"/>
      <c r="B21" s="186">
        <v>3.0</v>
      </c>
      <c r="C21" s="183" t="s">
        <v>699</v>
      </c>
      <c r="D21" s="183" t="s">
        <v>696</v>
      </c>
      <c r="E21" s="186">
        <v>2.0</v>
      </c>
      <c r="F21" s="186">
        <v>30.0</v>
      </c>
      <c r="G21" s="186">
        <f t="shared" si="8"/>
        <v>10.0</v>
      </c>
      <c r="H21" s="186">
        <f t="shared" si="2"/>
        <v>4.16</v>
      </c>
      <c r="I21" s="186">
        <f t="shared" si="3"/>
        <v>8.32</v>
      </c>
      <c r="J21" s="186">
        <f t="shared" si="4"/>
        <v>124.8</v>
      </c>
      <c r="K21" s="186">
        <f t="shared" si="5"/>
        <v>12.48</v>
      </c>
      <c r="L21" s="186">
        <f t="shared" si="6"/>
        <v>20.8</v>
      </c>
      <c r="M21" s="187"/>
      <c r="N21" s="180"/>
      <c r="O21" s="180"/>
      <c r="P21" s="18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6.0">
      <c r="A22" s="177" t="s">
        <f>'CYLINDER COST'!B11</f>
        <v>27</v>
      </c>
      <c r="B22" s="178">
        <v>1.0</v>
      </c>
      <c r="C22" s="178" t="s">
        <v>691</v>
      </c>
      <c r="D22" s="178" t="s">
        <v>692</v>
      </c>
      <c r="E22" s="178">
        <v>1.0</v>
      </c>
      <c r="F22" s="178">
        <v>20.0</v>
      </c>
      <c r="G22" s="178">
        <f t="shared" si="8"/>
        <v>10.0</v>
      </c>
      <c r="H22" s="178">
        <f t="shared" si="2"/>
        <v>4.67</v>
      </c>
      <c r="I22" s="178">
        <f t="shared" si="3"/>
        <v>4.67</v>
      </c>
      <c r="J22" s="178">
        <f t="shared" si="4"/>
        <v>93.4</v>
      </c>
      <c r="K22" s="178">
        <f t="shared" si="5"/>
        <v>9.34</v>
      </c>
      <c r="L22" s="178">
        <f t="shared" si="6"/>
        <v>14.01</v>
      </c>
      <c r="M22" s="179">
        <f>SUMIF(L22:L24,"&lt;&gt;#DIV/0!")/85</f>
        <v>0.752117647058823</v>
      </c>
      <c r="N22" s="180"/>
      <c r="O22" s="180"/>
      <c r="P22" s="18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6.0">
      <c r="A23" s="181"/>
      <c r="B23" s="183">
        <v>2.0</v>
      </c>
      <c r="C23" s="183" t="s">
        <v>699</v>
      </c>
      <c r="D23" s="183" t="s">
        <v>696</v>
      </c>
      <c r="E23" s="183">
        <v>3.0</v>
      </c>
      <c r="F23" s="183">
        <v>30.0</v>
      </c>
      <c r="G23" s="183">
        <f t="shared" si="8"/>
        <v>10.0</v>
      </c>
      <c r="H23" s="183">
        <f t="shared" si="2"/>
        <v>4.16</v>
      </c>
      <c r="I23" s="183">
        <f t="shared" si="3"/>
        <v>12.48</v>
      </c>
      <c r="J23" s="183">
        <f t="shared" si="4"/>
        <v>124.8</v>
      </c>
      <c r="K23" s="183">
        <f t="shared" si="5"/>
        <v>12.48</v>
      </c>
      <c r="L23" s="183">
        <f t="shared" si="6"/>
        <v>24.96</v>
      </c>
      <c r="M23" s="184"/>
      <c r="N23" s="180"/>
      <c r="O23" s="180"/>
      <c r="P23" s="18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6.0">
      <c r="A24" s="185"/>
      <c r="B24" s="186">
        <v>3.0</v>
      </c>
      <c r="C24" s="183" t="s">
        <v>699</v>
      </c>
      <c r="D24" s="183" t="s">
        <v>696</v>
      </c>
      <c r="E24" s="186">
        <v>3.0</v>
      </c>
      <c r="F24" s="186">
        <v>30.0</v>
      </c>
      <c r="G24" s="186">
        <f t="shared" si="8"/>
        <v>10.0</v>
      </c>
      <c r="H24" s="186">
        <f t="shared" si="2"/>
        <v>4.16</v>
      </c>
      <c r="I24" s="186">
        <f t="shared" si="3"/>
        <v>12.48</v>
      </c>
      <c r="J24" s="186">
        <f t="shared" si="4"/>
        <v>124.8</v>
      </c>
      <c r="K24" s="186">
        <f t="shared" si="5"/>
        <v>12.48</v>
      </c>
      <c r="L24" s="186">
        <f t="shared" si="6"/>
        <v>24.96</v>
      </c>
      <c r="M24" s="187"/>
      <c r="N24" s="180"/>
      <c r="O24" s="180"/>
      <c r="P24" s="18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C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C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C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C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C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B30" s="1"/>
      <c r="C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B31" s="1"/>
      <c r="C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B32" s="1"/>
      <c r="C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B33" s="1"/>
      <c r="C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B34" s="1"/>
      <c r="C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B35" s="1"/>
      <c r="C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B36" s="1"/>
      <c r="C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B37" s="1"/>
      <c r="C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B38" s="1"/>
      <c r="C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B39" s="1"/>
      <c r="C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B40" s="1"/>
      <c r="C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B41" s="1"/>
      <c r="C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B42" s="1"/>
      <c r="C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B43" s="1"/>
      <c r="C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B44" s="1"/>
      <c r="C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B45" s="1"/>
      <c r="C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B46" s="1"/>
      <c r="C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B47" s="1"/>
      <c r="C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B48" s="1"/>
      <c r="C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B49" s="1"/>
      <c r="C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B50" s="1"/>
      <c r="C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B51" s="1"/>
      <c r="C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B52" s="1"/>
      <c r="C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B53" s="1"/>
      <c r="C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B54" s="1"/>
      <c r="C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B55" s="1"/>
      <c r="C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B56" s="1"/>
      <c r="C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B57" s="1"/>
      <c r="C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B58" s="1"/>
      <c r="C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B59" s="1"/>
      <c r="C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B60" s="1"/>
      <c r="C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B61" s="1"/>
      <c r="C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B62" s="1"/>
      <c r="C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B63" s="1"/>
      <c r="C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B64" s="1"/>
      <c r="C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B65" s="1"/>
      <c r="C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B66" s="1"/>
      <c r="C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B67" s="1"/>
      <c r="C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B68" s="1"/>
      <c r="C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B69" s="1"/>
      <c r="C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B70" s="1"/>
      <c r="C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B71" s="1"/>
      <c r="C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B72" s="1"/>
      <c r="C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B73" s="1"/>
      <c r="C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B74" s="1"/>
      <c r="C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B75" s="1"/>
      <c r="C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B76" s="1"/>
      <c r="C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B77" s="1"/>
      <c r="C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B78" s="1"/>
      <c r="C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B79" s="1"/>
      <c r="C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B80" s="1"/>
      <c r="C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B81" s="1"/>
      <c r="C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B82" s="1"/>
      <c r="C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B83" s="1"/>
      <c r="C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B84" s="1"/>
      <c r="C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B85" s="1"/>
      <c r="C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B86" s="1"/>
      <c r="C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B87" s="1"/>
      <c r="C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B88" s="1"/>
      <c r="C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B89" s="1"/>
      <c r="C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B90" s="1"/>
      <c r="C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B91" s="1"/>
      <c r="C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B92" s="1"/>
      <c r="C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B93" s="1"/>
      <c r="C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B94" s="1"/>
      <c r="C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B95" s="1"/>
      <c r="C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B96" s="1"/>
      <c r="C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B97" s="1"/>
      <c r="C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B98" s="1"/>
      <c r="C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B99" s="1"/>
      <c r="C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B100" s="1"/>
      <c r="C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B101" s="1"/>
      <c r="C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B102" s="1"/>
      <c r="C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B103" s="1"/>
      <c r="C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B104" s="1"/>
      <c r="C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B105" s="1"/>
      <c r="C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B106" s="1"/>
      <c r="C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B107" s="1"/>
      <c r="C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B108" s="1"/>
      <c r="C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B109" s="1"/>
      <c r="C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B110" s="1"/>
      <c r="C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B111" s="1"/>
      <c r="C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B112" s="1"/>
      <c r="C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B113" s="1"/>
      <c r="C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B114" s="1"/>
      <c r="C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B115" s="1"/>
      <c r="C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B116" s="1"/>
      <c r="C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B117" s="1"/>
      <c r="C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B118" s="1"/>
      <c r="C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B119" s="1"/>
      <c r="C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B120" s="1"/>
      <c r="C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B121" s="1"/>
      <c r="C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B122" s="1"/>
      <c r="C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B123" s="1"/>
      <c r="C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B124" s="1"/>
      <c r="C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B125" s="1"/>
      <c r="C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B126" s="1"/>
      <c r="C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B127" s="1"/>
      <c r="C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B128" s="1"/>
      <c r="C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B129" s="1"/>
      <c r="C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B130" s="1"/>
      <c r="C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B131" s="1"/>
      <c r="C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B132" s="1"/>
      <c r="C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B133" s="1"/>
      <c r="C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B134" s="1"/>
      <c r="C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B135" s="1"/>
      <c r="C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B136" s="1"/>
      <c r="C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B137" s="1"/>
      <c r="C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B138" s="1"/>
      <c r="C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B139" s="1"/>
      <c r="C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B140" s="1"/>
      <c r="C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B141" s="1"/>
      <c r="C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B142" s="1"/>
      <c r="C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B143" s="1"/>
      <c r="C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B144" s="1"/>
      <c r="C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B145" s="1"/>
      <c r="C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B146" s="1"/>
      <c r="C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B147" s="1"/>
      <c r="C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B148" s="1"/>
      <c r="C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B149" s="1"/>
      <c r="C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B150" s="1"/>
      <c r="C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B151" s="1"/>
      <c r="C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B152" s="1"/>
      <c r="C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B153" s="1"/>
      <c r="C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B154" s="1"/>
      <c r="C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B155" s="1"/>
      <c r="C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B156" s="1"/>
      <c r="C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B157" s="1"/>
      <c r="C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B158" s="1"/>
      <c r="C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B159" s="1"/>
      <c r="C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B160" s="1"/>
      <c r="C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B161" s="1"/>
      <c r="C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B162" s="1"/>
      <c r="C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B163" s="1"/>
      <c r="C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B164" s="1"/>
      <c r="C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B165" s="1"/>
      <c r="C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B166" s="1"/>
      <c r="C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B167" s="1"/>
      <c r="C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B168" s="1"/>
      <c r="C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B169" s="1"/>
      <c r="C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B170" s="1"/>
      <c r="C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B171" s="1"/>
      <c r="C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B172" s="1"/>
      <c r="C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B173" s="1"/>
      <c r="C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B174" s="1"/>
      <c r="C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B175" s="1"/>
      <c r="C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B176" s="1"/>
      <c r="C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B177" s="1"/>
      <c r="C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B178" s="1"/>
      <c r="C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B179" s="1"/>
      <c r="C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B180" s="1"/>
      <c r="C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B181" s="1"/>
      <c r="C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B182" s="1"/>
      <c r="C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B183" s="1"/>
      <c r="C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B184" s="1"/>
      <c r="C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B185" s="1"/>
      <c r="C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B186" s="1"/>
      <c r="C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B187" s="1"/>
      <c r="C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B188" s="1"/>
      <c r="C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B189" s="1"/>
      <c r="C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B190" s="1"/>
      <c r="C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B191" s="1"/>
      <c r="C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B192" s="1"/>
      <c r="C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B193" s="1"/>
      <c r="C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B194" s="1"/>
      <c r="C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B195" s="1"/>
      <c r="C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B196" s="1"/>
      <c r="C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B197" s="1"/>
      <c r="C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B198" s="1"/>
      <c r="C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B199" s="1"/>
      <c r="C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B200" s="1"/>
      <c r="C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B201" s="1"/>
      <c r="C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B202" s="1"/>
      <c r="C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B203" s="1"/>
      <c r="C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B204" s="1"/>
      <c r="C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B205" s="1"/>
      <c r="C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B206" s="1"/>
      <c r="C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B207" s="1"/>
      <c r="C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B208" s="1"/>
      <c r="C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B209" s="1"/>
      <c r="C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B210" s="1"/>
      <c r="C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B211" s="1"/>
      <c r="C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B212" s="1"/>
      <c r="C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B213" s="1"/>
      <c r="C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B214" s="1"/>
      <c r="C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B215" s="1"/>
      <c r="C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B216" s="1"/>
      <c r="C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B217" s="1"/>
      <c r="C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B218" s="1"/>
      <c r="C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B219" s="1"/>
      <c r="C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B220" s="1"/>
      <c r="C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B221" s="1"/>
      <c r="C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B222" s="1"/>
      <c r="C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B223" s="1"/>
      <c r="C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B224" s="1"/>
      <c r="C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B225" s="1"/>
      <c r="C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B226" s="1"/>
      <c r="C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B227" s="1"/>
      <c r="C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B228" s="1"/>
      <c r="C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B229" s="1"/>
      <c r="C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B230" s="1"/>
      <c r="C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B231" s="1"/>
      <c r="C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B232" s="1"/>
      <c r="C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B233" s="1"/>
      <c r="C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B234" s="1"/>
      <c r="C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B235" s="1"/>
      <c r="C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B236" s="1"/>
      <c r="C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B237" s="1"/>
      <c r="C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B238" s="1"/>
      <c r="C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B239" s="1"/>
      <c r="C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B240" s="1"/>
      <c r="C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B241" s="1"/>
      <c r="C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B242" s="1"/>
      <c r="C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B243" s="1"/>
      <c r="C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B244" s="1"/>
      <c r="C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B245" s="1"/>
      <c r="C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B246" s="1"/>
      <c r="C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B247" s="1"/>
      <c r="C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B248" s="1"/>
      <c r="C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B249" s="1"/>
      <c r="C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B250" s="1"/>
      <c r="C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B251" s="1"/>
      <c r="C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B252" s="1"/>
      <c r="C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B253" s="1"/>
      <c r="C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B254" s="1"/>
      <c r="C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B255" s="1"/>
      <c r="C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B256" s="1"/>
      <c r="C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B257" s="1"/>
      <c r="C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B258" s="1"/>
      <c r="C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B259" s="1"/>
      <c r="C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B260" s="1"/>
      <c r="C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B261" s="1"/>
      <c r="C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B262" s="1"/>
      <c r="C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B263" s="1"/>
      <c r="C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B264" s="1"/>
      <c r="C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B265" s="1"/>
      <c r="C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B266" s="1"/>
      <c r="C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B267" s="1"/>
      <c r="C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B268" s="1"/>
      <c r="C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B269" s="1"/>
      <c r="C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B270" s="1"/>
      <c r="C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B271" s="1"/>
      <c r="C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B272" s="1"/>
      <c r="C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B273" s="1"/>
      <c r="C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B274" s="1"/>
      <c r="C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B275" s="1"/>
      <c r="C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B276" s="1"/>
      <c r="C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B277" s="1"/>
      <c r="C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B278" s="1"/>
      <c r="C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B279" s="1"/>
      <c r="C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B280" s="1"/>
      <c r="C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B281" s="1"/>
      <c r="C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B282" s="1"/>
      <c r="C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B283" s="1"/>
      <c r="C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B284" s="1"/>
      <c r="C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B285" s="1"/>
      <c r="C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B286" s="1"/>
      <c r="C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B287" s="1"/>
      <c r="C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B288" s="1"/>
      <c r="C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B289" s="1"/>
      <c r="C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B290" s="1"/>
      <c r="C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B291" s="1"/>
      <c r="C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B292" s="1"/>
      <c r="C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B293" s="1"/>
      <c r="C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B294" s="1"/>
      <c r="C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B295" s="1"/>
      <c r="C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B296" s="1"/>
      <c r="C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B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B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B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B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B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B302" s="1"/>
      <c r="C302" s="1"/>
      <c r="D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B303" s="1"/>
      <c r="C303" s="1"/>
      <c r="D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B304" s="1"/>
      <c r="C304" s="1"/>
      <c r="D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B305" s="1"/>
      <c r="C305" s="1"/>
      <c r="D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B306" s="1"/>
      <c r="C306" s="1"/>
      <c r="D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B307" s="1"/>
      <c r="C307" s="1"/>
      <c r="D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B308" s="1"/>
      <c r="C308" s="1"/>
      <c r="D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B309" s="1"/>
      <c r="C309" s="1"/>
      <c r="D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B310" s="1"/>
      <c r="C310" s="1"/>
      <c r="D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B311" s="1"/>
      <c r="C311" s="1"/>
      <c r="D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B312" s="1"/>
      <c r="C312" s="1"/>
      <c r="D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B313" s="1"/>
      <c r="C313" s="1"/>
      <c r="D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B314" s="1"/>
      <c r="C314" s="1"/>
      <c r="D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B315" s="1"/>
      <c r="C315" s="1"/>
      <c r="D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B316" s="1"/>
      <c r="C316" s="1"/>
      <c r="D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B317" s="1"/>
      <c r="C317" s="1"/>
      <c r="D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B318" s="1"/>
      <c r="C318" s="1"/>
      <c r="D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B319" s="1"/>
      <c r="C319" s="1"/>
      <c r="D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B320" s="1"/>
      <c r="C320" s="1"/>
      <c r="D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B321" s="1"/>
      <c r="C321" s="1"/>
      <c r="D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B322" s="1"/>
      <c r="C322" s="1"/>
      <c r="D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B323" s="1"/>
      <c r="C323" s="1"/>
      <c r="D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B324" s="1"/>
      <c r="C324" s="1"/>
      <c r="D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B325" s="1"/>
      <c r="C325" s="1"/>
      <c r="D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B326" s="1"/>
      <c r="C326" s="1"/>
      <c r="D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B327" s="1"/>
      <c r="C327" s="1"/>
      <c r="D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B328" s="1"/>
      <c r="C328" s="1"/>
      <c r="D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B329" s="1"/>
      <c r="C329" s="1"/>
      <c r="D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B330" s="1"/>
      <c r="C330" s="1"/>
      <c r="D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B331" s="1"/>
      <c r="C331" s="1"/>
      <c r="D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B332" s="1"/>
      <c r="C332" s="1"/>
      <c r="D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B333" s="1"/>
      <c r="C333" s="1"/>
      <c r="D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B334" s="1"/>
      <c r="C334" s="1"/>
      <c r="D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B335" s="1"/>
      <c r="C335" s="1"/>
      <c r="D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B336" s="1"/>
      <c r="C336" s="1"/>
      <c r="D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B337" s="1"/>
      <c r="C337" s="1"/>
      <c r="D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B338" s="1"/>
      <c r="C338" s="1"/>
      <c r="D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B339" s="1"/>
      <c r="C339" s="1"/>
      <c r="D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B340" s="1"/>
      <c r="C340" s="1"/>
      <c r="D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B341" s="1"/>
      <c r="C341" s="1"/>
      <c r="D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B342" s="1"/>
      <c r="C342" s="1"/>
      <c r="D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B343" s="1"/>
      <c r="C343" s="1"/>
      <c r="D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B344" s="1"/>
      <c r="C344" s="1"/>
      <c r="D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B345" s="1"/>
      <c r="C345" s="1"/>
      <c r="D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B346" s="1"/>
      <c r="C346" s="1"/>
      <c r="D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B347" s="1"/>
      <c r="C347" s="1"/>
      <c r="D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B348" s="1"/>
      <c r="C348" s="1"/>
      <c r="D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B349" s="1"/>
      <c r="C349" s="1"/>
      <c r="D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B350" s="1"/>
      <c r="C350" s="1"/>
      <c r="D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B351" s="1"/>
      <c r="C351" s="1"/>
      <c r="D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B352" s="1"/>
      <c r="C352" s="1"/>
      <c r="D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B353" s="1"/>
      <c r="C353" s="1"/>
      <c r="D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B354" s="1"/>
      <c r="C354" s="1"/>
      <c r="D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B355" s="1"/>
      <c r="C355" s="1"/>
      <c r="D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B356" s="1"/>
      <c r="C356" s="1"/>
      <c r="D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B357" s="1"/>
      <c r="C357" s="1"/>
      <c r="D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B358" s="1"/>
      <c r="C358" s="1"/>
      <c r="D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B359" s="1"/>
      <c r="C359" s="1"/>
      <c r="D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B360" s="1"/>
      <c r="C360" s="1"/>
      <c r="D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B361" s="1"/>
      <c r="C361" s="1"/>
      <c r="D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B362" s="1"/>
      <c r="C362" s="1"/>
      <c r="D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B363" s="1"/>
      <c r="C363" s="1"/>
      <c r="D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B364" s="1"/>
      <c r="C364" s="1"/>
      <c r="D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B365" s="1"/>
      <c r="C365" s="1"/>
      <c r="D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B366" s="1"/>
      <c r="C366" s="1"/>
      <c r="D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B367" s="1"/>
      <c r="C367" s="1"/>
      <c r="D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B368" s="1"/>
      <c r="C368" s="1"/>
      <c r="D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B369" s="1"/>
      <c r="C369" s="1"/>
      <c r="D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B370" s="1"/>
      <c r="C370" s="1"/>
      <c r="D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B371" s="1"/>
      <c r="C371" s="1"/>
      <c r="D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B372" s="1"/>
      <c r="C372" s="1"/>
      <c r="D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B373" s="1"/>
      <c r="C373" s="1"/>
      <c r="D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B374" s="1"/>
      <c r="C374" s="1"/>
      <c r="D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B375" s="1"/>
      <c r="C375" s="1"/>
      <c r="D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B376" s="1"/>
      <c r="C376" s="1"/>
      <c r="D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B377" s="1"/>
      <c r="C377" s="1"/>
      <c r="D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B378" s="1"/>
      <c r="C378" s="1"/>
      <c r="D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B379" s="1"/>
      <c r="C379" s="1"/>
      <c r="D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B380" s="1"/>
      <c r="C380" s="1"/>
      <c r="D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B381" s="1"/>
      <c r="C381" s="1"/>
      <c r="D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B382" s="1"/>
      <c r="C382" s="1"/>
      <c r="D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B383" s="1"/>
      <c r="C383" s="1"/>
      <c r="D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B384" s="1"/>
      <c r="C384" s="1"/>
      <c r="D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B385" s="1"/>
      <c r="C385" s="1"/>
      <c r="D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B386" s="1"/>
      <c r="C386" s="1"/>
      <c r="D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B387" s="1"/>
      <c r="C387" s="1"/>
      <c r="D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B388" s="1"/>
      <c r="C388" s="1"/>
      <c r="D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B389" s="1"/>
      <c r="C389" s="1"/>
      <c r="D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B390" s="1"/>
      <c r="C390" s="1"/>
      <c r="D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B391" s="1"/>
      <c r="C391" s="1"/>
      <c r="D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B392" s="1"/>
      <c r="C392" s="1"/>
      <c r="D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B393" s="1"/>
      <c r="C393" s="1"/>
      <c r="D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B394" s="1"/>
      <c r="C394" s="1"/>
      <c r="D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B395" s="1"/>
      <c r="C395" s="1"/>
      <c r="D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B396" s="1"/>
      <c r="C396" s="1"/>
      <c r="D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B397" s="1"/>
      <c r="C397" s="1"/>
      <c r="D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B398" s="1"/>
      <c r="C398" s="1"/>
      <c r="D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B399" s="1"/>
      <c r="C399" s="1"/>
      <c r="D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B400" s="1"/>
      <c r="C400" s="1"/>
      <c r="D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B401" s="1"/>
      <c r="C401" s="1"/>
      <c r="D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B402" s="1"/>
      <c r="C402" s="1"/>
      <c r="D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B403" s="1"/>
      <c r="C403" s="1"/>
      <c r="D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B404" s="1"/>
      <c r="C404" s="1"/>
      <c r="D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B405" s="1"/>
      <c r="C405" s="1"/>
      <c r="D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B406" s="1"/>
      <c r="C406" s="1"/>
      <c r="D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B407" s="1"/>
      <c r="C407" s="1"/>
      <c r="D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B408" s="1"/>
      <c r="C408" s="1"/>
      <c r="D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B409" s="1"/>
      <c r="C409" s="1"/>
      <c r="D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B410" s="1"/>
      <c r="C410" s="1"/>
      <c r="D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B411" s="1"/>
      <c r="C411" s="1"/>
      <c r="D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B412" s="1"/>
      <c r="C412" s="1"/>
      <c r="D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B413" s="1"/>
      <c r="C413" s="1"/>
      <c r="D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B414" s="1"/>
      <c r="C414" s="1"/>
      <c r="D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B415" s="1"/>
      <c r="C415" s="1"/>
      <c r="D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B416" s="1"/>
      <c r="C416" s="1"/>
      <c r="D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B417" s="1"/>
      <c r="C417" s="1"/>
      <c r="D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B418" s="1"/>
      <c r="C418" s="1"/>
      <c r="D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B419" s="1"/>
      <c r="C419" s="1"/>
      <c r="D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B420" s="1"/>
      <c r="C420" s="1"/>
      <c r="D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B421" s="1"/>
      <c r="C421" s="1"/>
      <c r="D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B422" s="1"/>
      <c r="C422" s="1"/>
      <c r="D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B423" s="1"/>
      <c r="C423" s="1"/>
      <c r="D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B424" s="1"/>
      <c r="C424" s="1"/>
      <c r="D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B425" s="1"/>
      <c r="C425" s="1"/>
      <c r="D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B426" s="1"/>
      <c r="C426" s="1"/>
      <c r="D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B427" s="1"/>
      <c r="C427" s="1"/>
      <c r="D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B428" s="1"/>
      <c r="C428" s="1"/>
      <c r="D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B429" s="1"/>
      <c r="C429" s="1"/>
      <c r="D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B430" s="1"/>
      <c r="C430" s="1"/>
      <c r="D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B431" s="1"/>
      <c r="C431" s="1"/>
      <c r="D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B432" s="1"/>
      <c r="C432" s="1"/>
      <c r="D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B433" s="1"/>
      <c r="C433" s="1"/>
      <c r="D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B434" s="1"/>
      <c r="C434" s="1"/>
      <c r="D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B435" s="1"/>
      <c r="C435" s="1"/>
      <c r="D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B436" s="1"/>
      <c r="C436" s="1"/>
      <c r="D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B437" s="1"/>
      <c r="C437" s="1"/>
      <c r="D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B438" s="1"/>
      <c r="C438" s="1"/>
      <c r="D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B439" s="1"/>
      <c r="C439" s="1"/>
      <c r="D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B440" s="1"/>
      <c r="C440" s="1"/>
      <c r="D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B441" s="1"/>
      <c r="C441" s="1"/>
      <c r="D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B442" s="1"/>
      <c r="C442" s="1"/>
      <c r="D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B443" s="1"/>
      <c r="C443" s="1"/>
      <c r="D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B444" s="1"/>
      <c r="C444" s="1"/>
      <c r="D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B445" s="1"/>
      <c r="C445" s="1"/>
      <c r="D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B446" s="1"/>
      <c r="C446" s="1"/>
      <c r="D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B447" s="1"/>
      <c r="C447" s="1"/>
      <c r="D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B448" s="1"/>
      <c r="C448" s="1"/>
      <c r="D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B449" s="1"/>
      <c r="C449" s="1"/>
      <c r="D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B450" s="1"/>
      <c r="C450" s="1"/>
      <c r="D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B451" s="1"/>
      <c r="C451" s="1"/>
      <c r="D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B452" s="1"/>
      <c r="C452" s="1"/>
      <c r="D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B453" s="1"/>
      <c r="C453" s="1"/>
      <c r="D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B454" s="1"/>
      <c r="C454" s="1"/>
      <c r="D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B455" s="1"/>
      <c r="C455" s="1"/>
      <c r="D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B456" s="1"/>
      <c r="C456" s="1"/>
      <c r="D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B457" s="1"/>
      <c r="C457" s="1"/>
      <c r="D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B458" s="1"/>
      <c r="C458" s="1"/>
      <c r="D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</sheetData>
  <mergeCells count="15">
    <mergeCell ref="A19:A21"/>
    <mergeCell ref="A10:A12"/>
    <mergeCell ref="A1:M1"/>
    <mergeCell ref="A13:A15"/>
    <mergeCell ref="A16:A18"/>
    <mergeCell ref="A22:A24"/>
    <mergeCell ref="A3:A6"/>
    <mergeCell ref="A7:A9"/>
    <mergeCell ref="M19:M21"/>
    <mergeCell ref="M22:M24"/>
    <mergeCell ref="M13:M15"/>
    <mergeCell ref="M10:M12"/>
    <mergeCell ref="M7:M9"/>
    <mergeCell ref="M16:M18"/>
    <mergeCell ref="M3:M6"/>
  </mergeCells>
  <dataValidations count="1">
    <dataValidation allowBlank="1" showErrorMessage="1" errorTitle="The value you entered is not valid." error="The value entered violates data validation rules set in cell" errorStyle="stop" type="list" sqref="D3:D24">
      <formula1>O$3:$O$6</formula1>
    </dataValidation>
  </dataValidation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S60"/>
  <sheetViews>
    <sheetView workbookViewId="0"/>
  </sheetViews>
  <sheetFormatPr defaultRowHeight="15.0" customHeight="1"/>
  <cols>
    <col min="1" max="1" style="189" width="32.46"/>
    <col min="2" max="2" style="171" width="11.52"/>
    <col min="3" max="3" style="171" width="11.39"/>
    <col min="4" max="4" style="171" width="43.06"/>
    <col min="5" max="5" width="3.04"/>
    <col min="6" max="6" style="189" width="26.23"/>
    <col min="7" max="7" style="189" width="11.39"/>
    <col min="8" max="8" style="189" width="13.51"/>
    <col min="9" max="9" style="189" width="38.42"/>
    <col min="10" max="10" width="2.51"/>
    <col min="11" max="11" width="35.5"/>
    <col min="12" max="13" width="11.52"/>
    <col min="14" max="14" width="27.16"/>
    <col min="15" max="15" width="2.51"/>
    <col min="16" max="16" width="32.99"/>
    <col min="17" max="18" width="12.58"/>
    <col min="19" max="19" width="30.2"/>
    <col min="20" max="2048" width="10.86"/>
  </cols>
  <sheetData>
    <row r="1" customHeight="1" ht="27.0">
      <c r="A1" s="190" t="s">
        <v>700</v>
      </c>
      <c r="B1" s="191"/>
      <c r="C1" s="192"/>
    </row>
    <row r="2" customHeight="1" ht="24.0">
      <c r="A2" s="193" t="s">
        <v>4</v>
      </c>
      <c r="B2" s="194" t="s">
        <v>701</v>
      </c>
      <c r="C2" s="195" t="s">
        <v>702</v>
      </c>
    </row>
    <row r="3" customHeight="1" ht="24.0">
      <c r="A3" s="196" t="s">
        <v>703</v>
      </c>
      <c r="B3" s="197" t="s">
        <v>704</v>
      </c>
      <c r="C3" s="198">
        <v>74.0</v>
      </c>
    </row>
    <row r="4" customHeight="1" ht="24.0">
      <c r="A4" s="196" t="s">
        <v>705</v>
      </c>
      <c r="B4" s="197" t="s">
        <v>704</v>
      </c>
      <c r="C4" s="198">
        <v>480.0</v>
      </c>
    </row>
    <row r="5" customHeight="1" ht="24.0">
      <c r="A5" s="199" t="s">
        <v>706</v>
      </c>
      <c r="B5" s="200" t="s">
        <v>707</v>
      </c>
      <c r="C5" s="201">
        <f>3.14*C3*C4/10^6</f>
        <v>0.1115328</v>
      </c>
    </row>
    <row r="6">
      <c r="A6" s="171"/>
      <c r="B6" s="171"/>
      <c r="C6" s="42"/>
    </row>
    <row r="7">
      <c r="A7" s="171"/>
      <c r="B7" s="171"/>
      <c r="C7" s="42"/>
    </row>
    <row r="8">
      <c r="A8" s="171"/>
      <c r="B8" s="171"/>
      <c r="C8" s="42"/>
    </row>
    <row r="9" customHeight="1" ht="28.0">
      <c r="A9" s="202" t="s">
        <v>708</v>
      </c>
      <c r="B9" s="203"/>
      <c r="C9" s="42"/>
      <c r="D9" s="204" t="s">
        <v>709</v>
      </c>
    </row>
    <row r="10" customHeight="1" ht="28.0">
      <c r="A10" s="205" t="s">
        <v>710</v>
      </c>
      <c r="B10" s="206">
        <f>C60</f>
        <v>1.34376867469879</v>
      </c>
      <c r="C10" s="42"/>
      <c r="D10" s="207">
        <v>300.0</v>
      </c>
    </row>
    <row r="11" customHeight="1" ht="28.0">
      <c r="A11" s="205" t="s">
        <v>711</v>
      </c>
      <c r="B11" s="206">
        <f>'Paint cost'!C41</f>
        <v>60.469590361446</v>
      </c>
      <c r="C11" s="42"/>
    </row>
    <row r="12" customHeight="1" ht="28.0">
      <c r="A12" s="196" t="s">
        <v>712</v>
      </c>
      <c r="B12" s="208">
        <f>'Paint cost'!R46</f>
        <v>14.378324819277</v>
      </c>
      <c r="C12" s="42"/>
    </row>
    <row r="13" customHeight="1" ht="28.0">
      <c r="A13" s="196" t="s">
        <v>713</v>
      </c>
      <c r="B13" s="208">
        <f>'Paint cost'!M57</f>
        <v>10.248150119094</v>
      </c>
      <c r="C13" s="42"/>
    </row>
    <row r="14" customHeight="1" ht="28.0">
      <c r="A14" s="196" t="s">
        <v>714</v>
      </c>
      <c r="B14" s="208">
        <f>'Paint cost'!H54</f>
        <v>1.06112933012048</v>
      </c>
      <c r="C14" s="42"/>
    </row>
    <row r="15" customHeight="1" ht="28.0">
      <c r="A15" s="196" t="s">
        <v>715</v>
      </c>
      <c r="B15" s="208">
        <f>'Paint cost'!M41</f>
        <v>1.00361603084337</v>
      </c>
      <c r="C15" s="42"/>
    </row>
    <row r="16" customHeight="1" ht="28.0">
      <c r="A16" s="209" t="s">
        <v>716</v>
      </c>
      <c r="B16" s="210">
        <f>'Paint cost'!C52</f>
        <v>0.246357590361446</v>
      </c>
      <c r="C16" s="42"/>
    </row>
    <row r="17" customHeight="1" ht="28.0">
      <c r="A17" s="211" t="s">
        <v>717</v>
      </c>
      <c r="B17" s="212">
        <f>SUM(B10:B16)/85</f>
        <v>1.04412866971578</v>
      </c>
      <c r="C17" s="42"/>
    </row>
    <row r="18">
      <c r="C18" s="42"/>
    </row>
    <row r="30" customHeight="1" ht="31.0">
      <c r="A30" s="213" t="s">
        <v>718</v>
      </c>
      <c r="B30" s="213"/>
      <c r="C30" s="213"/>
      <c r="D30" s="213"/>
    </row>
    <row r="31" customHeight="1" ht="30.0">
      <c r="A31" s="214" t="s">
        <v>719</v>
      </c>
      <c r="B31" s="215"/>
      <c r="C31" s="216"/>
      <c r="D31" s="217"/>
      <c r="E31" s="218"/>
      <c r="F31" s="219"/>
      <c r="G31" s="219"/>
      <c r="H31" s="219"/>
      <c r="I31" s="219"/>
      <c r="J31" s="218"/>
      <c r="K31" s="218"/>
      <c r="L31" s="218"/>
      <c r="M31" s="218"/>
      <c r="N31" s="218"/>
      <c r="O31" s="218"/>
      <c r="P31" s="218"/>
      <c r="Q31" s="218"/>
      <c r="R31" s="218"/>
      <c r="S31" s="220"/>
    </row>
    <row r="32" customHeight="1" ht="22.0">
      <c r="A32" s="221" t="s">
        <v>720</v>
      </c>
      <c r="B32" s="222">
        <f>C5</f>
        <v>0.1115328</v>
      </c>
      <c r="C32" s="223"/>
      <c r="D32" s="224"/>
      <c r="E32" s="225"/>
      <c r="J32" s="225"/>
      <c r="K32" s="225"/>
      <c r="L32" s="225"/>
      <c r="M32" s="225"/>
      <c r="N32" s="225"/>
      <c r="O32" s="225"/>
      <c r="P32" s="225"/>
      <c r="Q32" s="225"/>
      <c r="R32" s="225"/>
      <c r="S32" s="226"/>
    </row>
    <row r="33" customHeight="1" ht="22.0">
      <c r="A33" s="227" t="s">
        <v>721</v>
      </c>
      <c r="B33" s="228">
        <v>2490.0</v>
      </c>
      <c r="C33" s="229"/>
      <c r="D33" s="230"/>
      <c r="E33" s="225"/>
      <c r="F33" s="231"/>
      <c r="G33" s="231"/>
      <c r="H33" s="231"/>
      <c r="I33" s="231"/>
      <c r="J33" s="225"/>
      <c r="K33" s="232"/>
      <c r="L33" s="232"/>
      <c r="M33" s="232"/>
      <c r="N33" s="232"/>
      <c r="O33" s="225"/>
      <c r="P33" s="232"/>
      <c r="Q33" s="232"/>
      <c r="R33" s="232"/>
      <c r="S33" s="233"/>
    </row>
    <row r="34" customHeight="1" ht="29.0">
      <c r="A34" s="234" t="s">
        <v>722</v>
      </c>
      <c r="B34" s="235"/>
      <c r="C34" s="235"/>
      <c r="D34" s="236"/>
      <c r="E34" s="225"/>
      <c r="F34" s="234" t="s">
        <v>723</v>
      </c>
      <c r="G34" s="235"/>
      <c r="H34" s="235"/>
      <c r="I34" s="236"/>
      <c r="J34" s="225"/>
      <c r="K34" s="234" t="s">
        <v>724</v>
      </c>
      <c r="L34" s="235"/>
      <c r="M34" s="235"/>
      <c r="N34" s="236"/>
      <c r="O34" s="225"/>
      <c r="P34" s="234" t="s">
        <v>725</v>
      </c>
      <c r="Q34" s="235"/>
      <c r="R34" s="235"/>
      <c r="S34" s="236"/>
    </row>
    <row r="35" customHeight="1" ht="29.0">
      <c r="A35" s="237" t="s">
        <v>4</v>
      </c>
      <c r="B35" s="238" t="s">
        <v>701</v>
      </c>
      <c r="C35" s="238" t="s">
        <v>702</v>
      </c>
      <c r="D35" s="239" t="s">
        <v>726</v>
      </c>
      <c r="E35" s="225"/>
      <c r="F35" s="237" t="s">
        <v>4</v>
      </c>
      <c r="G35" s="238" t="s">
        <v>701</v>
      </c>
      <c r="H35" s="238" t="s">
        <v>702</v>
      </c>
      <c r="I35" s="239" t="s">
        <v>726</v>
      </c>
      <c r="J35" s="225"/>
      <c r="K35" s="237" t="s">
        <v>4</v>
      </c>
      <c r="L35" s="238" t="s">
        <v>701</v>
      </c>
      <c r="M35" s="238" t="s">
        <v>702</v>
      </c>
      <c r="N35" s="239" t="s">
        <v>726</v>
      </c>
      <c r="O35" s="225"/>
      <c r="P35" s="237" t="s">
        <v>4</v>
      </c>
      <c r="Q35" s="238" t="s">
        <v>701</v>
      </c>
      <c r="R35" s="238" t="s">
        <v>702</v>
      </c>
      <c r="S35" s="239" t="s">
        <v>726</v>
      </c>
    </row>
    <row r="36" ht="29.0">
      <c r="A36" s="240" t="s">
        <v>727</v>
      </c>
      <c r="B36" s="112" t="s">
        <v>728</v>
      </c>
      <c r="C36" s="241">
        <v>4500.0</v>
      </c>
      <c r="D36" s="242"/>
      <c r="E36" s="225"/>
      <c r="F36" s="240" t="s">
        <v>729</v>
      </c>
      <c r="G36" s="112" t="s">
        <v>730</v>
      </c>
      <c r="H36" s="241">
        <v>25.0</v>
      </c>
      <c r="I36" s="242"/>
      <c r="J36" s="225"/>
      <c r="K36" s="240" t="s">
        <v>731</v>
      </c>
      <c r="L36" s="112" t="s">
        <v>728</v>
      </c>
      <c r="M36" s="241">
        <v>56015.0</v>
      </c>
      <c r="N36" s="242"/>
      <c r="O36" s="225"/>
      <c r="P36" s="240" t="s">
        <v>732</v>
      </c>
      <c r="Q36" s="243" t="s">
        <v>733</v>
      </c>
      <c r="R36" s="243">
        <v>3.0</v>
      </c>
      <c r="S36" s="244"/>
    </row>
    <row r="37" ht="30.0">
      <c r="A37" s="245" t="s">
        <v>734</v>
      </c>
      <c r="B37" s="246" t="s">
        <v>728</v>
      </c>
      <c r="C37" s="247">
        <f>C36/B33</f>
        <v>1.80722891566265</v>
      </c>
      <c r="D37" s="248" t="s">
        <v>735</v>
      </c>
      <c r="E37" s="225"/>
      <c r="F37" s="240" t="s">
        <v>736</v>
      </c>
      <c r="G37" s="112" t="s">
        <v>730</v>
      </c>
      <c r="H37" s="249">
        <f>H36/B33</f>
        <v>0.0100401606425702</v>
      </c>
      <c r="I37" s="242" t="s">
        <v>737</v>
      </c>
      <c r="J37" s="225"/>
      <c r="K37" s="245" t="s">
        <v>738</v>
      </c>
      <c r="L37" s="246" t="s">
        <v>728</v>
      </c>
      <c r="M37" s="247">
        <f>M36/B33</f>
        <v>22.495983935743</v>
      </c>
      <c r="N37" s="248" t="s">
        <v>739</v>
      </c>
      <c r="O37" s="225"/>
      <c r="P37" s="240" t="s">
        <v>740</v>
      </c>
      <c r="Q37" s="243" t="s">
        <v>733</v>
      </c>
      <c r="R37" s="250">
        <f>R36/B33</f>
        <v>0.00120481927710843</v>
      </c>
      <c r="S37" s="244" t="s">
        <v>741</v>
      </c>
    </row>
    <row r="38" customHeight="1" ht="30.0">
      <c r="A38" s="251" t="s">
        <v>742</v>
      </c>
      <c r="B38" s="252"/>
      <c r="C38" s="252"/>
      <c r="D38" s="253"/>
      <c r="E38" s="225"/>
      <c r="F38" s="240" t="s">
        <v>743</v>
      </c>
      <c r="G38" s="112" t="s">
        <v>730</v>
      </c>
      <c r="H38" s="254">
        <v>20.0</v>
      </c>
      <c r="I38" s="242"/>
      <c r="J38" s="225"/>
      <c r="K38" s="251" t="s">
        <v>744</v>
      </c>
      <c r="L38" s="252"/>
      <c r="M38" s="252"/>
      <c r="N38" s="253"/>
      <c r="O38" s="225"/>
      <c r="P38" s="240" t="s">
        <v>745</v>
      </c>
      <c r="Q38" s="243" t="s">
        <v>733</v>
      </c>
      <c r="R38" s="243">
        <v>12.0</v>
      </c>
      <c r="S38" s="244"/>
    </row>
    <row r="39" ht="30.0">
      <c r="A39" s="237" t="s">
        <v>4</v>
      </c>
      <c r="B39" s="238" t="s">
        <v>702</v>
      </c>
      <c r="C39" s="238" t="s">
        <v>701</v>
      </c>
      <c r="D39" s="239" t="s">
        <v>726</v>
      </c>
      <c r="E39" s="225"/>
      <c r="F39" s="240" t="s">
        <v>746</v>
      </c>
      <c r="G39" s="112" t="s">
        <v>730</v>
      </c>
      <c r="H39" s="249">
        <f>H38/B33</f>
        <v>0.00803212851405622</v>
      </c>
      <c r="I39" s="242" t="s">
        <v>737</v>
      </c>
      <c r="J39" s="225"/>
      <c r="K39" s="237" t="s">
        <v>4</v>
      </c>
      <c r="L39" s="238" t="s">
        <v>701</v>
      </c>
      <c r="M39" s="238" t="s">
        <v>702</v>
      </c>
      <c r="N39" s="239" t="s">
        <v>726</v>
      </c>
      <c r="O39" s="225"/>
      <c r="P39" s="255" t="s">
        <v>747</v>
      </c>
      <c r="Q39" s="256" t="s">
        <v>733</v>
      </c>
      <c r="R39" s="257">
        <f>R38/B33</f>
        <v>0.00481927710843373</v>
      </c>
      <c r="S39" s="258" t="s">
        <v>748</v>
      </c>
    </row>
    <row r="40" customHeight="1" ht="23.0">
      <c r="A40" s="240" t="s">
        <v>749</v>
      </c>
      <c r="B40" s="112" t="s">
        <v>750</v>
      </c>
      <c r="C40" s="259">
        <f>C37*B43</f>
        <v>542.168674698795</v>
      </c>
      <c r="D40" s="242" t="s">
        <v>751</v>
      </c>
      <c r="E40" s="225"/>
      <c r="F40" s="240" t="s">
        <v>752</v>
      </c>
      <c r="G40" s="112" t="s">
        <v>730</v>
      </c>
      <c r="H40" s="254">
        <v>18.0</v>
      </c>
      <c r="I40" s="242"/>
      <c r="J40" s="225"/>
      <c r="K40" s="240" t="s">
        <v>753</v>
      </c>
      <c r="L40" s="112" t="s">
        <v>750</v>
      </c>
      <c r="M40" s="259">
        <f>M37*L43</f>
        <v>8.9983935742972</v>
      </c>
      <c r="N40" s="242" t="s">
        <v>754</v>
      </c>
      <c r="O40" s="225"/>
      <c r="P40" s="251" t="s">
        <v>755</v>
      </c>
      <c r="Q40" s="252"/>
      <c r="R40" s="252"/>
      <c r="S40" s="253"/>
    </row>
    <row r="41" ht="30.0">
      <c r="A41" s="245" t="s">
        <v>756</v>
      </c>
      <c r="B41" s="260" t="s">
        <v>750</v>
      </c>
      <c r="C41" s="261">
        <f>C40*B32</f>
        <v>60.469590361446</v>
      </c>
      <c r="D41" s="262" t="s">
        <v>757</v>
      </c>
      <c r="E41" s="225"/>
      <c r="F41" s="240" t="s">
        <v>758</v>
      </c>
      <c r="G41" s="112" t="s">
        <v>730</v>
      </c>
      <c r="H41" s="249">
        <f>H40/B33</f>
        <v>0.0072289156626506</v>
      </c>
      <c r="I41" s="242" t="s">
        <v>737</v>
      </c>
      <c r="J41" s="225"/>
      <c r="K41" s="263" t="s">
        <v>759</v>
      </c>
      <c r="L41" s="260" t="s">
        <v>750</v>
      </c>
      <c r="M41" s="261">
        <f>M40*B32</f>
        <v>1.00361603084337</v>
      </c>
      <c r="N41" s="262" t="s">
        <v>760</v>
      </c>
      <c r="O41" s="225"/>
      <c r="P41" s="237" t="s">
        <v>4</v>
      </c>
      <c r="Q41" s="238" t="s">
        <v>701</v>
      </c>
      <c r="R41" s="238" t="s">
        <v>702</v>
      </c>
      <c r="S41" s="239" t="s">
        <v>726</v>
      </c>
    </row>
    <row r="42" customHeight="1" ht="30.0">
      <c r="A42" s="264" t="s">
        <v>761</v>
      </c>
      <c r="B42" s="265"/>
      <c r="C42" s="266"/>
      <c r="D42" s="220"/>
      <c r="E42" s="225"/>
      <c r="F42" s="240" t="s">
        <v>762</v>
      </c>
      <c r="G42" s="112" t="s">
        <v>730</v>
      </c>
      <c r="H42" s="254">
        <v>24.0</v>
      </c>
      <c r="I42" s="242"/>
      <c r="J42" s="225"/>
      <c r="K42" s="251" t="s">
        <v>761</v>
      </c>
      <c r="L42" s="253"/>
      <c r="M42" s="266"/>
      <c r="N42" s="220"/>
      <c r="O42" s="225"/>
      <c r="P42" s="240" t="s">
        <v>763</v>
      </c>
      <c r="Q42" s="243" t="s">
        <v>750</v>
      </c>
      <c r="R42" s="103">
        <f>R37*Q48</f>
        <v>42.168674698795</v>
      </c>
      <c r="S42" s="244"/>
    </row>
    <row r="43" ht="30.0">
      <c r="A43" s="245" t="s">
        <v>764</v>
      </c>
      <c r="B43" s="267">
        <f>D10</f>
        <v>300.0</v>
      </c>
      <c r="C43" s="268"/>
      <c r="D43" s="233"/>
      <c r="E43" s="225"/>
      <c r="F43" s="245" t="s">
        <v>765</v>
      </c>
      <c r="G43" s="246" t="s">
        <v>730</v>
      </c>
      <c r="H43" s="269">
        <f>H42/B33</f>
        <v>0.00963855421686747</v>
      </c>
      <c r="I43" s="248" t="s">
        <v>737</v>
      </c>
      <c r="J43" s="225"/>
      <c r="K43" s="245" t="s">
        <v>766</v>
      </c>
      <c r="L43" s="248">
        <v>0.4</v>
      </c>
      <c r="M43" s="268"/>
      <c r="N43" s="233"/>
      <c r="O43" s="225"/>
      <c r="P43" s="240" t="s">
        <v>767</v>
      </c>
      <c r="Q43" s="243" t="s">
        <v>750</v>
      </c>
      <c r="R43" s="103">
        <f>R39*Q49</f>
        <v>86.7469879518071</v>
      </c>
      <c r="S43" s="244"/>
    </row>
    <row r="44" customHeight="1" ht="31.0">
      <c r="A44" s="270"/>
      <c r="E44" s="225"/>
      <c r="F44" s="251" t="s">
        <v>768</v>
      </c>
      <c r="G44" s="252"/>
      <c r="H44" s="252"/>
      <c r="I44" s="253"/>
      <c r="J44" s="225"/>
      <c r="K44" s="271"/>
      <c r="L44" s="271"/>
      <c r="M44" s="271"/>
      <c r="N44" s="271"/>
      <c r="O44" s="225"/>
      <c r="P44" s="240" t="s">
        <v>769</v>
      </c>
      <c r="Q44" s="243" t="s">
        <v>750</v>
      </c>
      <c r="R44" s="103">
        <f>R42*B32</f>
        <v>4.70319036144576</v>
      </c>
      <c r="S44" s="242" t="s">
        <v>770</v>
      </c>
    </row>
    <row r="45" customHeight="1" ht="30.0">
      <c r="A45" s="234" t="s">
        <v>771</v>
      </c>
      <c r="B45" s="235"/>
      <c r="C45" s="235"/>
      <c r="D45" s="236"/>
      <c r="E45" s="225"/>
      <c r="F45" s="237" t="s">
        <v>4</v>
      </c>
      <c r="G45" s="238" t="s">
        <v>701</v>
      </c>
      <c r="H45" s="238" t="s">
        <v>702</v>
      </c>
      <c r="I45" s="239" t="s">
        <v>726</v>
      </c>
      <c r="J45" s="225"/>
      <c r="K45" s="234" t="s">
        <v>772</v>
      </c>
      <c r="L45" s="235"/>
      <c r="M45" s="235"/>
      <c r="N45" s="236"/>
      <c r="O45" s="225"/>
      <c r="P45" s="240" t="s">
        <v>773</v>
      </c>
      <c r="Q45" s="243" t="s">
        <v>750</v>
      </c>
      <c r="R45" s="103">
        <f>R43*B32</f>
        <v>9.67513445783131</v>
      </c>
      <c r="S45" s="242" t="s">
        <v>770</v>
      </c>
    </row>
    <row r="46" customHeight="1" ht="51.0">
      <c r="A46" s="237" t="s">
        <v>4</v>
      </c>
      <c r="B46" s="238" t="s">
        <v>701</v>
      </c>
      <c r="C46" s="238" t="s">
        <v>702</v>
      </c>
      <c r="D46" s="239" t="s">
        <v>726</v>
      </c>
      <c r="E46" s="225"/>
      <c r="F46" s="240" t="s">
        <v>774</v>
      </c>
      <c r="G46" s="112" t="s">
        <v>750</v>
      </c>
      <c r="H46" s="259">
        <f>H37*G56</f>
        <v>2.51004016064255</v>
      </c>
      <c r="I46" s="242" t="s">
        <v>775</v>
      </c>
      <c r="J46" s="225"/>
      <c r="K46" s="237" t="s">
        <v>4</v>
      </c>
      <c r="L46" s="238" t="s">
        <v>701</v>
      </c>
      <c r="M46" s="238" t="s">
        <v>702</v>
      </c>
      <c r="N46" s="239" t="s">
        <v>726</v>
      </c>
      <c r="O46" s="225"/>
      <c r="P46" s="263" t="s">
        <v>776</v>
      </c>
      <c r="Q46" s="272" t="s">
        <v>750</v>
      </c>
      <c r="R46" s="273">
        <f>R44+R45</f>
        <v>14.378324819277</v>
      </c>
      <c r="S46" s="274"/>
    </row>
    <row r="47" customHeight="1" ht="51.0">
      <c r="A47" s="240" t="s">
        <v>777</v>
      </c>
      <c r="B47" s="112" t="s">
        <v>778</v>
      </c>
      <c r="C47" s="241">
        <v>11.0</v>
      </c>
      <c r="D47" s="242"/>
      <c r="E47" s="225"/>
      <c r="F47" s="240" t="s">
        <v>779</v>
      </c>
      <c r="G47" s="112" t="s">
        <v>750</v>
      </c>
      <c r="H47" s="259">
        <f>H39*G57</f>
        <v>3.1726907630522</v>
      </c>
      <c r="I47" s="242" t="s">
        <v>775</v>
      </c>
      <c r="J47" s="225"/>
      <c r="K47" s="240" t="s">
        <v>780</v>
      </c>
      <c r="L47" s="243" t="s">
        <v>781</v>
      </c>
      <c r="M47" s="243">
        <v>9953.0</v>
      </c>
      <c r="N47" s="244"/>
      <c r="O47" s="225"/>
      <c r="P47" s="275" t="s">
        <v>782</v>
      </c>
      <c r="Q47" s="276"/>
      <c r="R47" s="277"/>
      <c r="S47" s="278"/>
    </row>
    <row r="48" customHeight="1" ht="51.0">
      <c r="A48" s="245" t="s">
        <v>783</v>
      </c>
      <c r="B48" s="246" t="s">
        <v>778</v>
      </c>
      <c r="C48" s="269">
        <f>C47/B33</f>
        <v>0.00441767068273092</v>
      </c>
      <c r="D48" s="248" t="s">
        <v>784</v>
      </c>
      <c r="E48" s="225"/>
      <c r="F48" s="240" t="s">
        <v>785</v>
      </c>
      <c r="G48" s="112" t="s">
        <v>750</v>
      </c>
      <c r="H48" s="259">
        <f>H41*G58</f>
        <v>1.66265060240963</v>
      </c>
      <c r="I48" s="242" t="s">
        <v>775</v>
      </c>
      <c r="J48" s="225"/>
      <c r="K48" s="240" t="s">
        <v>786</v>
      </c>
      <c r="L48" s="243" t="s">
        <v>781</v>
      </c>
      <c r="M48" s="279">
        <f>M47/B33</f>
        <v>3.99718875502008</v>
      </c>
      <c r="N48" s="244" t="s">
        <v>787</v>
      </c>
      <c r="O48" s="225"/>
      <c r="P48" s="280" t="s">
        <v>788</v>
      </c>
      <c r="Q48" s="281">
        <v>35000.0</v>
      </c>
      <c r="R48" s="282"/>
      <c r="S48" s="283"/>
    </row>
    <row r="49" customHeight="1" ht="51.0">
      <c r="A49" s="251" t="s">
        <v>789</v>
      </c>
      <c r="B49" s="252"/>
      <c r="C49" s="252"/>
      <c r="D49" s="253"/>
      <c r="E49" s="225"/>
      <c r="F49" s="240" t="s">
        <v>790</v>
      </c>
      <c r="G49" s="112" t="s">
        <v>750</v>
      </c>
      <c r="H49" s="259">
        <f>H43*G59</f>
        <v>2.16867469879518</v>
      </c>
      <c r="I49" s="242" t="s">
        <v>775</v>
      </c>
      <c r="J49" s="225"/>
      <c r="K49" s="240" t="s">
        <v>791</v>
      </c>
      <c r="L49" s="243" t="s">
        <v>781</v>
      </c>
      <c r="M49" s="243">
        <v>18163.0</v>
      </c>
      <c r="N49" s="244"/>
      <c r="O49" s="225"/>
      <c r="P49" s="284" t="s">
        <v>792</v>
      </c>
      <c r="Q49" s="285">
        <v>18000.0</v>
      </c>
      <c r="R49" s="286"/>
      <c r="S49" s="287"/>
    </row>
    <row r="50" customHeight="1" ht="50.0">
      <c r="A50" s="237" t="s">
        <v>4</v>
      </c>
      <c r="B50" s="238" t="s">
        <v>701</v>
      </c>
      <c r="C50" s="238" t="s">
        <v>702</v>
      </c>
      <c r="D50" s="239" t="s">
        <v>726</v>
      </c>
      <c r="E50" s="225"/>
      <c r="F50" s="240" t="s">
        <v>793</v>
      </c>
      <c r="G50" s="112" t="s">
        <v>750</v>
      </c>
      <c r="H50" s="259">
        <f>H46*B32</f>
        <v>0.279951807228913</v>
      </c>
      <c r="I50" s="242" t="s">
        <v>794</v>
      </c>
      <c r="J50" s="225"/>
      <c r="K50" s="245" t="s">
        <v>795</v>
      </c>
      <c r="L50" s="288" t="s">
        <v>781</v>
      </c>
      <c r="M50" s="289">
        <f>M49/B33</f>
        <v>7.29437751004016</v>
      </c>
      <c r="N50" s="274" t="s">
        <v>787</v>
      </c>
      <c r="O50" s="225"/>
      <c r="P50" s="218"/>
      <c r="Q50" s="218"/>
      <c r="R50" s="218"/>
      <c r="S50" s="220"/>
    </row>
    <row r="51" customHeight="1" ht="50.0">
      <c r="A51" s="240" t="s">
        <v>796</v>
      </c>
      <c r="B51" s="112" t="s">
        <v>750</v>
      </c>
      <c r="C51" s="259">
        <f>C48*B54</f>
        <v>2.20883534136546</v>
      </c>
      <c r="D51" s="242" t="s">
        <v>797</v>
      </c>
      <c r="E51" s="225"/>
      <c r="F51" s="240" t="s">
        <v>798</v>
      </c>
      <c r="G51" s="112" t="s">
        <v>750</v>
      </c>
      <c r="H51" s="259">
        <f>H47*B32</f>
        <v>0.353859084337348</v>
      </c>
      <c r="I51" s="242" t="s">
        <v>794</v>
      </c>
      <c r="J51" s="225"/>
      <c r="K51" s="251" t="s">
        <v>799</v>
      </c>
      <c r="L51" s="252"/>
      <c r="M51" s="252"/>
      <c r="N51" s="253"/>
      <c r="O51" s="225"/>
      <c r="P51" s="225"/>
      <c r="Q51" s="225"/>
      <c r="R51" s="225"/>
      <c r="S51" s="226"/>
    </row>
    <row r="52" customHeight="1" ht="50.0">
      <c r="A52" s="263" t="s">
        <v>800</v>
      </c>
      <c r="B52" s="260" t="s">
        <v>750</v>
      </c>
      <c r="C52" s="261">
        <f>C51*B32</f>
        <v>0.246357590361446</v>
      </c>
      <c r="D52" s="262" t="s">
        <v>801</v>
      </c>
      <c r="E52" s="225"/>
      <c r="F52" s="240" t="s">
        <v>802</v>
      </c>
      <c r="G52" s="112" t="s">
        <v>750</v>
      </c>
      <c r="H52" s="259">
        <f>H48*B32</f>
        <v>0.185440077108432</v>
      </c>
      <c r="I52" s="242" t="s">
        <v>794</v>
      </c>
      <c r="J52" s="225"/>
      <c r="K52" s="237" t="s">
        <v>4</v>
      </c>
      <c r="L52" s="238" t="s">
        <v>701</v>
      </c>
      <c r="M52" s="238" t="s">
        <v>702</v>
      </c>
      <c r="N52" s="239" t="s">
        <v>726</v>
      </c>
      <c r="O52" s="225"/>
      <c r="P52" s="225"/>
      <c r="Q52" s="225"/>
      <c r="R52" s="225"/>
      <c r="S52" s="226"/>
    </row>
    <row r="53" customHeight="1" ht="50.0">
      <c r="A53" s="251" t="s">
        <v>803</v>
      </c>
      <c r="B53" s="253"/>
      <c r="C53" s="266"/>
      <c r="D53" s="220"/>
      <c r="E53" s="225"/>
      <c r="F53" s="240" t="s">
        <v>804</v>
      </c>
      <c r="G53" s="112" t="s">
        <v>750</v>
      </c>
      <c r="H53" s="259">
        <f>H49*B32</f>
        <v>0.241878361445783</v>
      </c>
      <c r="I53" s="242" t="s">
        <v>794</v>
      </c>
      <c r="J53" s="225"/>
      <c r="K53" s="240" t="s">
        <v>805</v>
      </c>
      <c r="L53" s="243" t="s">
        <v>750</v>
      </c>
      <c r="M53" s="103">
        <f>M48*L59</f>
        <v>36.3744176706827</v>
      </c>
      <c r="N53" s="242" t="s">
        <v>806</v>
      </c>
      <c r="O53" s="225"/>
      <c r="P53" s="225"/>
      <c r="Q53" s="225"/>
      <c r="R53" s="225"/>
      <c r="S53" s="226"/>
    </row>
    <row r="54" customHeight="1" ht="38.0">
      <c r="A54" s="255" t="s">
        <v>807</v>
      </c>
      <c r="B54" s="290">
        <v>500.0</v>
      </c>
      <c r="C54" s="291"/>
      <c r="D54" s="226"/>
      <c r="E54" s="225"/>
      <c r="F54" s="263" t="s">
        <v>808</v>
      </c>
      <c r="G54" s="272" t="s">
        <v>750</v>
      </c>
      <c r="H54" s="273">
        <f>H50+H51+H52+H53</f>
        <v>1.06112933012048</v>
      </c>
      <c r="I54" s="274"/>
      <c r="J54" s="225"/>
      <c r="K54" s="240" t="s">
        <v>809</v>
      </c>
      <c r="L54" s="243" t="s">
        <v>750</v>
      </c>
      <c r="M54" s="103">
        <f>M50*L60</f>
        <v>55.5102128514056</v>
      </c>
      <c r="N54" s="242" t="s">
        <v>806</v>
      </c>
      <c r="O54" s="225"/>
      <c r="P54" s="225"/>
      <c r="Q54" s="225"/>
      <c r="R54" s="225"/>
      <c r="S54" s="226"/>
    </row>
    <row r="55" customHeight="1" ht="35.0">
      <c r="A55" s="234" t="s">
        <v>810</v>
      </c>
      <c r="B55" s="235"/>
      <c r="C55" s="235"/>
      <c r="D55" s="236"/>
      <c r="E55" s="225"/>
      <c r="F55" s="251" t="s">
        <v>811</v>
      </c>
      <c r="G55" s="253"/>
      <c r="H55" s="292"/>
      <c r="I55" s="293"/>
      <c r="J55" s="225"/>
      <c r="K55" s="240" t="s">
        <v>812</v>
      </c>
      <c r="L55" s="243" t="s">
        <v>750</v>
      </c>
      <c r="M55" s="103">
        <f>M53*B32</f>
        <v>4.05694065118072</v>
      </c>
      <c r="N55" s="242" t="s">
        <v>813</v>
      </c>
      <c r="O55" s="225"/>
      <c r="P55" s="225"/>
      <c r="Q55" s="225"/>
      <c r="R55" s="225"/>
      <c r="S55" s="226"/>
    </row>
    <row r="56" customHeight="1" ht="35.0">
      <c r="A56" s="237" t="s">
        <v>4</v>
      </c>
      <c r="B56" s="238" t="s">
        <v>701</v>
      </c>
      <c r="C56" s="238" t="s">
        <v>702</v>
      </c>
      <c r="D56" s="239" t="s">
        <v>726</v>
      </c>
      <c r="E56" s="225"/>
      <c r="F56" s="240" t="s">
        <v>814</v>
      </c>
      <c r="G56" s="242">
        <v>250.0</v>
      </c>
      <c r="H56" s="270"/>
      <c r="I56" s="294"/>
      <c r="J56" s="225"/>
      <c r="K56" s="240" t="s">
        <v>815</v>
      </c>
      <c r="L56" s="243" t="s">
        <v>750</v>
      </c>
      <c r="M56" s="103">
        <f>M54*B32</f>
        <v>6.19120946791325</v>
      </c>
      <c r="N56" s="242" t="s">
        <v>816</v>
      </c>
      <c r="O56" s="225"/>
      <c r="P56" s="225"/>
      <c r="Q56" s="225"/>
      <c r="R56" s="225"/>
      <c r="S56" s="226"/>
    </row>
    <row r="57" customHeight="1" ht="35.0">
      <c r="A57" s="240" t="s">
        <v>817</v>
      </c>
      <c r="B57" s="112" t="s">
        <v>750</v>
      </c>
      <c r="C57" s="241">
        <f>5400000/15</f>
        <v>360000.0</v>
      </c>
      <c r="D57" s="242" t="s">
        <v>818</v>
      </c>
      <c r="E57" s="225"/>
      <c r="F57" s="240" t="s">
        <v>819</v>
      </c>
      <c r="G57" s="242">
        <v>395.0</v>
      </c>
      <c r="H57" s="270"/>
      <c r="I57" s="294"/>
      <c r="J57" s="225"/>
      <c r="K57" s="263" t="s">
        <v>820</v>
      </c>
      <c r="L57" s="272" t="s">
        <v>750</v>
      </c>
      <c r="M57" s="273">
        <f>M55+M56</f>
        <v>10.248150119094</v>
      </c>
      <c r="N57" s="274"/>
      <c r="O57" s="225"/>
      <c r="P57" s="225"/>
      <c r="Q57" s="225"/>
      <c r="R57" s="225"/>
      <c r="S57" s="226"/>
    </row>
    <row r="58" customHeight="1" ht="35.0">
      <c r="A58" s="240" t="s">
        <v>821</v>
      </c>
      <c r="B58" s="112" t="s">
        <v>750</v>
      </c>
      <c r="C58" s="254">
        <f>B33*12</f>
        <v>29880.0</v>
      </c>
      <c r="D58" s="242" t="s">
        <v>822</v>
      </c>
      <c r="E58" s="225"/>
      <c r="F58" s="240" t="s">
        <v>823</v>
      </c>
      <c r="G58" s="242">
        <v>230.0</v>
      </c>
      <c r="H58" s="270"/>
      <c r="I58" s="294"/>
      <c r="J58" s="225"/>
      <c r="K58" s="275" t="s">
        <v>824</v>
      </c>
      <c r="L58" s="276"/>
      <c r="M58" s="277"/>
      <c r="N58" s="278"/>
      <c r="O58" s="225"/>
      <c r="P58" s="225"/>
      <c r="Q58" s="225"/>
      <c r="R58" s="225"/>
      <c r="S58" s="226"/>
    </row>
    <row r="59" customHeight="1" ht="35.0">
      <c r="A59" s="240" t="s">
        <v>825</v>
      </c>
      <c r="B59" s="112" t="s">
        <v>750</v>
      </c>
      <c r="C59" s="112">
        <f>C57/C58</f>
        <v>12.0481927710843</v>
      </c>
      <c r="D59" s="242" t="s">
        <v>826</v>
      </c>
      <c r="E59" s="225"/>
      <c r="F59" s="245" t="s">
        <v>827</v>
      </c>
      <c r="G59" s="248">
        <v>225.0</v>
      </c>
      <c r="H59" s="295"/>
      <c r="I59" s="296"/>
      <c r="J59" s="225"/>
      <c r="K59" s="280" t="s">
        <v>828</v>
      </c>
      <c r="L59" s="297">
        <v>9.1</v>
      </c>
      <c r="M59" s="282"/>
      <c r="N59" s="283"/>
      <c r="O59" s="225"/>
      <c r="P59" s="225"/>
      <c r="Q59" s="225"/>
      <c r="R59" s="225"/>
      <c r="S59" s="226"/>
    </row>
    <row r="60" customHeight="1" ht="35.0">
      <c r="A60" s="298" t="s">
        <v>829</v>
      </c>
      <c r="B60" s="299" t="s">
        <v>750</v>
      </c>
      <c r="C60" s="299">
        <f>C59*B32</f>
        <v>1.34376867469879</v>
      </c>
      <c r="D60" s="300" t="s">
        <v>830</v>
      </c>
      <c r="E60" s="232"/>
      <c r="F60" s="301"/>
      <c r="G60" s="301"/>
      <c r="H60" s="301"/>
      <c r="I60" s="301"/>
      <c r="J60" s="232"/>
      <c r="K60" s="284" t="s">
        <v>831</v>
      </c>
      <c r="L60" s="302">
        <v>7.61</v>
      </c>
      <c r="M60" s="286"/>
      <c r="N60" s="287"/>
      <c r="O60" s="232"/>
      <c r="P60" s="232"/>
      <c r="Q60" s="232"/>
      <c r="R60" s="232"/>
      <c r="S60" s="233"/>
    </row>
  </sheetData>
  <mergeCells count="37">
    <mergeCell ref="A30:D30"/>
    <mergeCell ref="A9:B9"/>
    <mergeCell ref="A31:B31"/>
    <mergeCell ref="A1:C1"/>
    <mergeCell ref="A42:B42"/>
    <mergeCell ref="A38:D38"/>
    <mergeCell ref="A45:D45"/>
    <mergeCell ref="A49:D49"/>
    <mergeCell ref="A53:B53"/>
    <mergeCell ref="A34:D34"/>
    <mergeCell ref="A55:D55"/>
    <mergeCell ref="C31:D33"/>
    <mergeCell ref="C53:D54"/>
    <mergeCell ref="C42:D43"/>
    <mergeCell ref="F44:I44"/>
    <mergeCell ref="E31:E60"/>
    <mergeCell ref="F60:I60"/>
    <mergeCell ref="F55:G55"/>
    <mergeCell ref="F34:I34"/>
    <mergeCell ref="F31:I33"/>
    <mergeCell ref="H55:I59"/>
    <mergeCell ref="J31:J44"/>
    <mergeCell ref="K31:N33"/>
    <mergeCell ref="K58:L58"/>
    <mergeCell ref="K34:N34"/>
    <mergeCell ref="K45:N45"/>
    <mergeCell ref="K44:N44"/>
    <mergeCell ref="K38:N38"/>
    <mergeCell ref="K51:N51"/>
    <mergeCell ref="M58:N60"/>
    <mergeCell ref="P47:Q47"/>
    <mergeCell ref="P50:S60"/>
    <mergeCell ref="P40:S40"/>
    <mergeCell ref="O31:O60"/>
    <mergeCell ref="P34:S34"/>
    <mergeCell ref="P31:S33"/>
    <mergeCell ref="R47:S49"/>
  </mergeCells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X9"/>
  <sheetViews>
    <sheetView workbookViewId="0"/>
  </sheetViews>
  <sheetFormatPr defaultRowHeight="15.0" customHeight="1"/>
  <cols>
    <col min="1" max="1" style="303" width="11.79"/>
    <col min="2" max="21" width="7.81"/>
    <col min="22" max="2048" width="10.86"/>
  </cols>
  <sheetData>
    <row r="1" customHeight="1" ht="17.0">
      <c r="A1" s="304" t="s">
        <v>832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6"/>
    </row>
    <row r="2">
      <c r="A2" s="205" t="s">
        <v>833</v>
      </c>
      <c r="B2" s="307" t="s">
        <v>834</v>
      </c>
      <c r="C2" s="307" t="s">
        <v>835</v>
      </c>
      <c r="D2" s="307" t="s">
        <v>836</v>
      </c>
      <c r="E2" s="307" t="s">
        <v>837</v>
      </c>
      <c r="F2" s="307" t="s">
        <v>40</v>
      </c>
      <c r="G2" s="307" t="s">
        <v>838</v>
      </c>
      <c r="H2" s="307" t="s">
        <v>839</v>
      </c>
      <c r="I2" s="307" t="s">
        <v>840</v>
      </c>
      <c r="J2" s="307" t="s">
        <v>37</v>
      </c>
      <c r="K2" s="307" t="s">
        <v>841</v>
      </c>
      <c r="L2" s="307" t="s">
        <v>842</v>
      </c>
      <c r="M2" s="307" t="s">
        <v>843</v>
      </c>
      <c r="N2" s="307" t="s">
        <v>844</v>
      </c>
      <c r="O2" s="307" t="s">
        <v>845</v>
      </c>
      <c r="P2" s="307" t="s">
        <v>846</v>
      </c>
      <c r="Q2" s="307" t="s">
        <v>847</v>
      </c>
      <c r="R2" s="307" t="s">
        <v>848</v>
      </c>
      <c r="S2" s="307" t="s">
        <v>849</v>
      </c>
      <c r="T2" s="307" t="s">
        <v>850</v>
      </c>
      <c r="U2" s="308" t="s">
        <v>851</v>
      </c>
      <c r="W2" s="309" t="s">
        <v>852</v>
      </c>
      <c r="X2" s="310">
        <v>88.0</v>
      </c>
    </row>
    <row r="3">
      <c r="A3" s="311" t="s">
        <v>16</v>
      </c>
      <c r="B3" s="102"/>
      <c r="C3" s="102"/>
      <c r="D3" s="102">
        <f>11.5/X2</f>
        <v>0.130681818181818</v>
      </c>
      <c r="E3" s="102"/>
      <c r="F3" s="102">
        <f>14.57/X2</f>
        <v>0.165568181818181</v>
      </c>
      <c r="G3" s="102"/>
      <c r="H3" s="102">
        <f>14.57/X2</f>
        <v>0.165568181818181</v>
      </c>
      <c r="I3" s="102"/>
      <c r="J3" s="102">
        <f>14.57/X2</f>
        <v>0.165568181818181</v>
      </c>
      <c r="K3" s="102"/>
      <c r="L3" s="312">
        <f>24/X2</f>
        <v>0.272727272727272</v>
      </c>
      <c r="M3" s="312">
        <f>24/X2</f>
        <v>0.272727272727272</v>
      </c>
      <c r="N3" s="102">
        <f>30.9/X2</f>
        <v>0.351136363636363</v>
      </c>
      <c r="O3" s="102">
        <f>32.43/X2</f>
        <v>0.368522727272727</v>
      </c>
      <c r="P3" s="102">
        <f>38.95/X2</f>
        <v>0.442613636363636</v>
      </c>
      <c r="Q3" s="102">
        <f>39.33/X2</f>
        <v>0.446931818181818</v>
      </c>
      <c r="R3" s="102">
        <f>41.63/X2</f>
        <v>0.473068181818181</v>
      </c>
      <c r="S3" s="102">
        <f>48.53/X2</f>
        <v>0.551477272727272</v>
      </c>
      <c r="T3" s="102">
        <f>56.73/X2</f>
        <v>0.64465909090909</v>
      </c>
      <c r="U3" s="313">
        <f>70.53/X2</f>
        <v>0.801477272727272</v>
      </c>
    </row>
    <row r="4">
      <c r="A4" s="311" t="s">
        <v>19</v>
      </c>
      <c r="B4" s="102">
        <f>15.33/X2</f>
        <v>0.174204545454545</v>
      </c>
      <c r="C4" s="102">
        <f>16.1/X2</f>
        <v>0.182954545454545</v>
      </c>
      <c r="D4" s="102">
        <f>17.25/X2</f>
        <v>0.196022727272727</v>
      </c>
      <c r="E4" s="102">
        <f>18.94/X2</f>
        <v>0.215227272727272</v>
      </c>
      <c r="F4" s="102">
        <f>22.08/X2</f>
        <v>0.25090909090909</v>
      </c>
      <c r="G4" s="102">
        <f>25.45/X2</f>
        <v>0.289204545454545</v>
      </c>
      <c r="H4" s="102">
        <f>31.82/X2</f>
        <v>0.361590909090909</v>
      </c>
      <c r="I4" s="102">
        <f>40.25/X2</f>
        <v>0.457386363636363</v>
      </c>
      <c r="J4" s="102">
        <f>46/X2</f>
        <v>0.522727272727272</v>
      </c>
      <c r="K4" s="102">
        <f>52.52/X2</f>
        <v>0.596818181818181</v>
      </c>
      <c r="L4" s="102">
        <f>62.87/X2</f>
        <v>0.714431818181818</v>
      </c>
      <c r="M4" s="102"/>
      <c r="N4" s="102"/>
      <c r="O4" s="102"/>
      <c r="P4" s="102"/>
      <c r="Q4" s="102"/>
      <c r="R4" s="102"/>
      <c r="S4" s="102"/>
      <c r="T4" s="102"/>
      <c r="U4" s="313"/>
    </row>
    <row r="5">
      <c r="A5" s="311" t="s">
        <v>853</v>
      </c>
      <c r="B5" s="102"/>
      <c r="C5" s="102"/>
      <c r="D5" s="102">
        <f>15.64/X2</f>
        <v>0.177727272727272</v>
      </c>
      <c r="E5" s="102"/>
      <c r="F5" s="102">
        <f>19.17/X2</f>
        <v>0.217840909090909</v>
      </c>
      <c r="G5" s="102"/>
      <c r="H5" s="102">
        <f>21.47/X2</f>
        <v>0.243977272727272</v>
      </c>
      <c r="I5" s="102"/>
      <c r="J5" s="102">
        <f>22.08/X2</f>
        <v>0.25090909090909</v>
      </c>
      <c r="K5" s="102"/>
      <c r="L5" s="102">
        <f>24/X2</f>
        <v>0.272727272727272</v>
      </c>
      <c r="M5" s="102">
        <f>26.83/X2</f>
        <v>0.304886363636363</v>
      </c>
      <c r="N5" s="102">
        <f>30.28/X2</f>
        <v>0.344090909090909</v>
      </c>
      <c r="O5" s="102">
        <f>32.35/X2</f>
        <v>0.367613636363636</v>
      </c>
      <c r="P5" s="102">
        <f>36.8/X2</f>
        <v>0.418181818181818</v>
      </c>
      <c r="Q5" s="102">
        <f>39.87/X2</f>
        <v>0.453068181818181</v>
      </c>
      <c r="R5" s="102">
        <f>41.02/X2</f>
        <v>0.466136363636363</v>
      </c>
      <c r="S5" s="102">
        <f>47.53/X2</f>
        <v>0.540113636363636</v>
      </c>
      <c r="T5" s="102">
        <f>50.98/X2</f>
        <v>0.579318181818181</v>
      </c>
      <c r="U5" s="313">
        <f>57.5/X2</f>
        <v>0.65340909090909</v>
      </c>
    </row>
    <row r="6" customFormat="1" s="317">
      <c r="A6" s="314" t="s">
        <v>23</v>
      </c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6"/>
    </row>
    <row r="7">
      <c r="A7" s="311" t="s">
        <v>25</v>
      </c>
      <c r="B7" s="102"/>
      <c r="C7" s="102"/>
      <c r="D7" s="102">
        <f>24.38/X2</f>
        <v>0.277045454545454</v>
      </c>
      <c r="E7" s="102"/>
      <c r="F7" s="102">
        <f>26.22/X2</f>
        <v>0.297954545454545</v>
      </c>
      <c r="G7" s="102"/>
      <c r="H7" s="102">
        <f>30.36/X2</f>
        <v>0.345</v>
      </c>
      <c r="I7" s="102"/>
      <c r="J7" s="102">
        <f>33.81/X2</f>
        <v>0.384204545454545</v>
      </c>
      <c r="K7" s="102"/>
      <c r="L7" s="102">
        <f>39.1/X2</f>
        <v>0.444318181818181</v>
      </c>
      <c r="M7" s="102">
        <f>41.4/X2</f>
        <v>0.470454545454545</v>
      </c>
      <c r="N7" s="102">
        <f>47.84/X2</f>
        <v>0.543636363636363</v>
      </c>
      <c r="O7" s="102">
        <f>52.44/X2</f>
        <v>0.59590909090909</v>
      </c>
      <c r="P7" s="102">
        <f>57.96/X2</f>
        <v>0.658636363636363</v>
      </c>
      <c r="Q7" s="102">
        <f>63.02/X2</f>
        <v>0.716136363636363</v>
      </c>
      <c r="R7" s="102">
        <f>69.92/X2</f>
        <v>0.794545454545454</v>
      </c>
      <c r="S7" s="102">
        <f>78.2/X2</f>
        <v>0.888636363636363</v>
      </c>
      <c r="T7" s="102">
        <f>87.4/X2</f>
        <v>0.993181818181818</v>
      </c>
      <c r="U7" s="313"/>
    </row>
    <row r="8">
      <c r="A8" s="311" t="s">
        <v>26</v>
      </c>
      <c r="B8" s="102"/>
      <c r="C8" s="102"/>
      <c r="D8" s="102">
        <f>18.78/X2</f>
        <v>0.21340909090909</v>
      </c>
      <c r="E8" s="102"/>
      <c r="F8" s="102">
        <f>19.93/X2</f>
        <v>0.226477272727272</v>
      </c>
      <c r="G8" s="102"/>
      <c r="H8" s="102">
        <f>21.08/X2</f>
        <v>0.239545454545454</v>
      </c>
      <c r="I8" s="102"/>
      <c r="J8" s="102">
        <f>25.3/X2</f>
        <v>0.2875</v>
      </c>
      <c r="K8" s="102"/>
      <c r="L8" s="102">
        <f>28.75/X2</f>
        <v>0.326704545454545</v>
      </c>
      <c r="M8" s="102">
        <f>33.35/X2</f>
        <v>0.378977272727272</v>
      </c>
      <c r="N8" s="102">
        <f>37.57/X2</f>
        <v>0.426931818181818</v>
      </c>
      <c r="O8" s="102">
        <f>40.25/X2</f>
        <v>0.457386363636363</v>
      </c>
      <c r="P8" s="102">
        <f>47.53/X2</f>
        <v>0.540113636363636</v>
      </c>
      <c r="Q8" s="102">
        <f>52.13/X2</f>
        <v>0.592386363636363</v>
      </c>
      <c r="R8" s="102">
        <f>57.5/X2</f>
        <v>0.65340909090909</v>
      </c>
      <c r="S8" s="102">
        <f>61.33/X2</f>
        <v>0.696931818181818</v>
      </c>
      <c r="T8" s="102">
        <f>65.93/X2</f>
        <v>0.749204545454546</v>
      </c>
      <c r="U8" s="313">
        <f>73.6/X2</f>
        <v>0.836363636363636</v>
      </c>
    </row>
    <row r="9">
      <c r="A9" s="318" t="s">
        <v>27</v>
      </c>
      <c r="B9" s="319"/>
      <c r="C9" s="319"/>
      <c r="D9" s="319">
        <f>24.15/X2</f>
        <v>0.274431818181818</v>
      </c>
      <c r="E9" s="319"/>
      <c r="F9" s="319">
        <f>25.68/X2</f>
        <v>0.291818181818181</v>
      </c>
      <c r="G9" s="319"/>
      <c r="H9" s="319">
        <f>28.37/X2</f>
        <v>0.322386363636363</v>
      </c>
      <c r="I9" s="319"/>
      <c r="J9" s="319">
        <f>32.2/X2</f>
        <v>0.36590909090909</v>
      </c>
      <c r="K9" s="319"/>
      <c r="L9" s="319">
        <f>36.03/X2</f>
        <v>0.409431818181818</v>
      </c>
      <c r="M9" s="319">
        <f>39.87/X2</f>
        <v>0.453068181818181</v>
      </c>
      <c r="N9" s="319">
        <f>43.32/X2</f>
        <v>0.492272727272727</v>
      </c>
      <c r="O9" s="319">
        <f>49.45/X2</f>
        <v>0.561931818181818</v>
      </c>
      <c r="P9" s="319">
        <f>55.2/X2</f>
        <v>0.627272727272727</v>
      </c>
      <c r="Q9" s="319">
        <f>60.95/X2</f>
        <v>0.692613636363636</v>
      </c>
      <c r="R9" s="319">
        <f>69/X2</f>
        <v>0.784090909090909</v>
      </c>
      <c r="S9" s="319">
        <f>74.37/X2</f>
        <v>0.845113636363637</v>
      </c>
      <c r="T9" s="319">
        <f>77.82/X2</f>
        <v>0.884318181818181</v>
      </c>
      <c r="U9" s="320">
        <f>85.87/X2</f>
        <v>0.975795454545454</v>
      </c>
    </row>
  </sheetData>
  <mergeCells count="1">
    <mergeCell ref="A1:U1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2026-05-18T11:21:09Z</dcterms:created>
</cp:coreProperties>
</file>